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120" yWindow="-120" windowWidth="29040" windowHeight="175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<sst xmlns="http://schemas.openxmlformats.org/spreadsheetml/2006/main" count="2127" uniqueCount="1232">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</sst>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0.76811594202898625</c:v>
                </c:pt>
                <c:pt idx="1">
                  <c:v>0.86956521739130477</c:v>
                </c:pt>
                <c:pt idx="2">
                  <c:v>1</c:v>
                </c:pt>
                <c:pt idx="3">
                  <c:v>0.86956521739130477</c:v>
                </c:pt>
                <c:pt idx="4">
                  <c:v>0.76811594202898625</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14.2</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390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48.00" customHeight="1">
      <c r="B112" s="7" t="inlineStr">
        <is>
          <t xml:space="preserve">Device Setting</t>
        </is>
      </c>
      <c r="C112" s="7" t="inlineStr">
        <is>
          <t xml:space="preserve">D84</t>
        </is>
      </c>
      <c r="D112" s="8" t="inlineStr">
        <is>
          <t xml:space="preserve">(empty)</t>
        </is>
      </c>
      <c r="E112" s="8" t="inlineStr">
        <is>
          <t xml:space="preserve">=D83/IF(ISNUMBER(F83),F83,D83)</t>
        </is>
      </c>
      <c r="F112" s="8" t="inlineStr">
        <is>
          <t xml:space="preserve">Added margin check k.naux = D83 / selected ratio. It matters only when the auxiliary winding supplies VCC; here the winding only senses (ZCD) and VCC comes from an external rail, so a value below 1 is not a failure.</t>
        </is>
      </c>
    </row>
    <row r="113">
      <c r="B113" s="7" t="inlineStr">
        <is>
          <t xml:space="preserve">Device Setting</t>
        </is>
      </c>
      <c r="C113" s="7" t="inlineStr">
        <is>
          <t xml:space="preserve">D71 (and cached D88, D98, D99)</t>
        </is>
      </c>
      <c r="D113" s="8" t="inlineStr">
        <is>
          <t xml:space="preserve">D71 "DS_IC start-up phase end th at ZCD pin" held 1.35 V, the ST tool value. The draft datasheet electrical characteristics table gives V_ZCD_SUend = 1.36 V (typ).</t>
        </is>
      </c>
      <c r="E113" s="8" t="inlineStr">
        <is>
          <t xml:space="preserve">D71 = 1.36 V, the datasheet value (user decision 2026-09-24). D88, D98 and D99 keep their formulas; their cached values were recomputed.</t>
        </is>
      </c>
      <c r="F113" s="8" t="inlineStr">
        <is>
          <t xml:space="preserve">The output voltage at which start-up hands over to the loop (D99) moves by +0.7 %. Nothing else reads these cells; no margin moves.</t>
        </is>
      </c>
    </row>
    <row r="114">
      <c r="B114" s="7" t="inlineStr">
        <is>
          <t xml:space="preserve">Device Setting</t>
        </is>
      </c>
      <c r="C114" s="7" t="inlineStr">
        <is>
          <t xml:space="preserve">F83, F91, B84 (and cached D84-D100, BOM E56)</t>
        </is>
      </c>
      <c r="D114"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4" s="8" t="inlineStr">
        <is>
          <t xml:space="preserve">F83 = 1.0 (2 T on N.s = 2), F91 = 220 k (E24 above the calculated 208.2 k). B84 explains that D84 &lt; 1 is intended. Formulas unchanged; cached values recomputed.</t>
        </is>
      </c>
      <c r="F114" s="8" t="inlineStr">
        <is>
          <t xml:space="preserve">OVP1 28.93 V, OVP2 31.45 V, start-up hand-over 17.11 V. D84 = 0.84 reads as a failure in the ST tool and is not one here - the regulator between the winding and VCC is a deliberate difference from the ST tool's direct-feed assumption.</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U4" sqref="U4"/>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4.9819000000000004</v>
      </c>
      <c r="G9" s="56"/>
    </row>
    <row r="10" spans="2:7" ht="14.25" customHeight="1">
      <c r="B10" s="1" t="s">
        <v>269</v>
      </c>
      <c r="C10" s="1" t="s">
        <v>270</v>
      </c>
      <c r="D10" s="3">
        <f>2*IF(F9,F9,D9)*(('Design Spec'!D95+'Design Spec'!D107*'Design Spec'!D106))/(SQRT(2)*'Design Spec'!D83)</f>
        <v>1.0167142857142859</v>
      </c>
      <c r="E10" s="1" t="str">
        <f t="shared" si="0"/>
        <v>-</v>
      </c>
      <c r="F10" s="1"/>
    </row>
    <row r="11" spans="2:7" ht="14.25" customHeight="1">
      <c r="B11" s="1" t="s">
        <v>271</v>
      </c>
      <c r="C11" s="1" t="s">
        <v>272</v>
      </c>
      <c r="D11" s="3">
        <f>2*IF(F9,F9,D9)*(('Design Spec'!D95+'Design Spec'!D107*'Design Spec'!D106))/(SQRT(2)*'Design Spec'!D79)</f>
        <v>0.6671847108320571</v>
      </c>
      <c r="E11" s="1" t="str">
        <f t="shared" si="0"/>
        <v>-</v>
      </c>
      <c r="F11" s="1"/>
    </row>
    <row r="12" spans="2:7" ht="14.25" customHeight="1">
      <c r="B12" s="1" t="s">
        <v>273</v>
      </c>
      <c r="C12" s="1" t="s">
        <v>274</v>
      </c>
      <c r="D12" s="3">
        <f>1/(2*IF(F9,F9,D9)*(('Design Spec'!D95+'Design Spec'!D107*'Design Spec'!D106))/(SQRT(2)*'Design Spec'!D81))-1</f>
        <v>0.88683032577932086</v>
      </c>
      <c r="E12" s="1" t="str">
        <f t="shared" si="0"/>
        <v>-</v>
      </c>
      <c r="F12" s="1"/>
    </row>
    <row r="13" spans="2:7" ht="14.25" customHeight="1">
      <c r="B13" s="1" t="s">
        <v>275</v>
      </c>
      <c r="C13" s="1" t="s">
        <v>276</v>
      </c>
      <c r="D13" s="3">
        <f>D12/(1-('Design Spec'!D102/'Design Spec'!D104)^2)</f>
        <v>1.5962945864027775</v>
      </c>
      <c r="E13" s="1" t="str">
        <f t="shared" si="0"/>
        <v>-</v>
      </c>
      <c r="F13" s="1"/>
    </row>
    <row r="14" spans="2:7" ht="13.5" customHeight="1">
      <c r="B14" s="1" t="s">
        <v>277</v>
      </c>
      <c r="C14" s="1" t="s">
        <v>278</v>
      </c>
      <c r="D14" s="3">
        <f>D12/(1-(((PI()^2)/8)*('Design Spec'!D102/'Design Spec'!D104)^2))</f>
        <v>1.9633664401479536</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1.9633664401479536</v>
      </c>
      <c r="E16" s="57" t="str">
        <f>"-"</f>
        <v>-</v>
      </c>
      <c r="F16" s="59" t="s">
        <v>283</v>
      </c>
    </row>
    <row r="17" spans="2:6" ht="14.25" customHeight="1">
      <c r="B17" s="1" t="s">
        <v>284</v>
      </c>
      <c r="C17" s="1" t="s">
        <v>285</v>
      </c>
      <c r="D17" s="3">
        <f>((IF(F9,F9,D9))^2)*(4/((PI())^2))*(((('Design Spec'!D95+'Design Spec'!D107*'Design Spec'!D106))^2)/('Preliminary Calculation'!D10))</f>
        <v>9.3704531469167751</v>
      </c>
      <c r="E17" s="1" t="s">
        <v>175</v>
      </c>
      <c r="F17" s="1"/>
    </row>
    <row r="18" spans="2:6" ht="14.25" customHeight="1">
      <c r="B18" s="1" t="s">
        <v>286</v>
      </c>
      <c r="C18" s="1" t="s">
        <v>287</v>
      </c>
      <c r="D18" s="3">
        <f>IF(D10&gt;1,(D16/D10)*SQRT((1/D16)+((D10^2)/((D10^2)-1))),NA())</f>
        <v>10.782318451347063</v>
      </c>
      <c r="E18" s="1" t="str">
        <f>"-"</f>
        <v>-</v>
      </c>
      <c r="F18" s="1"/>
    </row>
    <row r="19" spans="2:6" ht="13.5" customHeight="1">
      <c r="B19" s="1" t="s">
        <v>288</v>
      </c>
      <c r="C19" s="1" t="s">
        <v>289</v>
      </c>
      <c r="D19" s="3">
        <f>(2/PI())*(D16)*(('Design Spec'!D112*(10^-9))/(D17*'Design Spec'!D111*(10^-12)))</f>
        <v>36.682048996575176</v>
      </c>
      <c r="E19" s="1" t="str">
        <f>"-"</f>
        <v>-</v>
      </c>
      <c r="F19" s="1"/>
    </row>
    <row r="20" spans="2:6" ht="14.25" hidden="1" customHeight="1">
      <c r="B20" s="57" t="s">
        <v>288</v>
      </c>
      <c r="C20" s="57" t="s">
        <v>290</v>
      </c>
      <c r="D20" s="58">
        <f>((SQRT((D16*(1+D16))))/(2*IF(F9,F9,D9)))*((SQRT(2)*'Design Spec'!D83)/((('Design Spec'!D95+'Design Spec'!D107*'Design Spec'!D106))))</f>
        <v>2.3724356145790089</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9.3759290881278812</v>
      </c>
      <c r="E26" s="1" t="str">
        <f>"-"</f>
        <v>-</v>
      </c>
    </row>
    <row r="27" spans="2:6" ht="14.25" customHeight="1">
      <c r="B27" s="1" t="s">
        <v>297</v>
      </c>
      <c r="C27" s="1" t="s">
        <v>298</v>
      </c>
      <c r="D27" s="3">
        <f>D17*D26</f>
        <v>87.856704229116431</v>
      </c>
      <c r="E27" s="1" t="s">
        <v>175</v>
      </c>
    </row>
    <row r="28" spans="2:6" ht="14.25" customHeight="1">
      <c r="B28" s="1" t="s">
        <v>299</v>
      </c>
      <c r="C28" s="1" t="s">
        <v>300</v>
      </c>
      <c r="D28" s="3">
        <f>RTC!$BB$149</f>
        <v>0.98195978791719163</v>
      </c>
      <c r="E28" s="1" t="str">
        <f>"-"</f>
        <v>-</v>
      </c>
    </row>
    <row r="29" spans="2:6" ht="14.25" customHeight="1">
      <c r="B29" s="1" t="s">
        <v>301</v>
      </c>
      <c r="C29" s="1" t="s">
        <v>302</v>
      </c>
      <c r="D29" s="3">
        <f>ATAN(((((D50^2)+(D50)+(((D28^2)-1)*(RTC!$C$41^2)))*(D28^2))-(D50^2))/(RTC!$C$41*(D28)^3))</f>
        <v>0.60130652650392014</v>
      </c>
      <c r="E29" s="1" t="str">
        <f>"-"</f>
        <v>-</v>
      </c>
    </row>
    <row r="30" spans="2:6" ht="14.25" customHeight="1">
      <c r="B30" s="1" t="s">
        <v>303</v>
      </c>
      <c r="C30" s="1" t="s">
        <v>304</v>
      </c>
      <c r="D30" s="49">
        <f>(D29)/(2*PI()*D28*D55)*1000000</f>
        <v>657.24675985551335</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20.866115873620814</v>
      </c>
      <c r="E35" s="1" t="s">
        <v>237</v>
      </c>
    </row>
    <row r="36" spans="2:6" ht="14.25" customHeight="1">
      <c r="B36" s="1" t="s">
        <v>310</v>
      </c>
      <c r="C36" s="1" t="s">
        <v>311</v>
      </c>
      <c r="D36" s="49">
        <f>D35*SIN(D29)</f>
        <v>11.804385624365507</v>
      </c>
      <c r="E36" s="1" t="s">
        <v>237</v>
      </c>
    </row>
    <row r="37" spans="2:6" ht="14.25" customHeight="1">
      <c r="B37" s="1" t="s">
        <v>312</v>
      </c>
      <c r="C37" s="1" t="s">
        <v>313</v>
      </c>
      <c r="D37" s="49">
        <f>'Design Spec'!D111*(10^-12)*(SQRT(2)*'Design Spec'!D83/'Res. Tank Design'!D36)*10^9</f>
        <v>16.603998398310129</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4.9819000000000004</v>
      </c>
      <c r="E42" s="1" t="str">
        <f>"-"</f>
        <v>-</v>
      </c>
      <c r="F42" s="1"/>
    </row>
    <row r="43" spans="2:6" ht="14.25" customHeight="1">
      <c r="B43" s="1" t="s">
        <v>316</v>
      </c>
      <c r="C43" s="1" t="s">
        <v>317</v>
      </c>
      <c r="D43" s="3">
        <f>1/(2*PI()*'Design Spec'!D102*'Res. Tank Design'!D27)*1000000</f>
        <v>12.076858143676347</v>
      </c>
      <c r="E43" s="1" t="s">
        <v>200</v>
      </c>
      <c r="F43" s="2">
        <v>180</v>
      </c>
    </row>
    <row r="44" spans="2:6" ht="14.25" customHeight="1">
      <c r="B44" s="1" t="s">
        <v>318</v>
      </c>
      <c r="C44" s="1" t="s">
        <v>319</v>
      </c>
      <c r="D44" s="3">
        <f>1/(IF(F43,F43,D43)*(10^-12)*(2*PI()*'Design Spec'!D102*1000)^2)*1000</f>
        <v>6.2543940519961598</v>
      </c>
      <c r="E44" s="1" t="s">
        <v>320</v>
      </c>
      <c r="F44" s="2">
        <v>6.4</v>
      </c>
    </row>
    <row r="45" spans="2:6" ht="14.25" customHeight="1">
      <c r="B45" s="1" t="s">
        <v>321</v>
      </c>
      <c r="C45" s="1" t="s">
        <v>322</v>
      </c>
      <c r="D45" s="3">
        <f>IF(F44,F44,D44)/D16</f>
        <v>3.2597073420067804</v>
      </c>
      <c r="E45" s="1" t="s">
        <v>320</v>
      </c>
      <c r="F45" s="2">
        <v>14.2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0.45070422535211274</v>
      </c>
      <c r="E50" s="1" t="str">
        <f>"-"</f>
        <v>-</v>
      </c>
    </row>
    <row r="51" spans="2:5" ht="14.25" customHeight="1">
      <c r="B51" s="1" t="s">
        <v>325</v>
      </c>
      <c r="C51" s="1" t="s">
        <v>326</v>
      </c>
      <c r="D51" s="3">
        <f>IF(F9,F9,D9)*(1+D50)^0.5</f>
        <v>6.0004586019924648</v>
      </c>
      <c r="E51" s="1" t="str">
        <f>"-"</f>
        <v>-</v>
      </c>
    </row>
    <row r="52" spans="2:5" ht="14.25" customHeight="1">
      <c r="B52" s="1" t="s">
        <v>327</v>
      </c>
      <c r="C52" s="1" t="s">
        <v>328</v>
      </c>
      <c r="D52" s="49">
        <f>(IF(F44,F44,D44)/IF(F43,F43,D43)*1000)^0.5</f>
        <v>5.9628479399994392</v>
      </c>
      <c r="E52" s="1" t="s">
        <v>175</v>
      </c>
    </row>
    <row r="53" spans="2:5" ht="14.25" customHeight="1">
      <c r="B53" s="1" t="s">
        <v>329</v>
      </c>
      <c r="C53" s="1" t="s">
        <v>330</v>
      </c>
      <c r="D53" s="49">
        <f>((IF(F44,F44,D44)+IF(F45,F45,D45))*1000/(IF(F43,F43,D43)))^0.5</f>
        <v>10.697871023920808</v>
      </c>
      <c r="E53" s="1" t="s">
        <v>175</v>
      </c>
    </row>
    <row r="54" spans="2:5" ht="14.25" customHeight="1">
      <c r="B54" s="1" t="s">
        <v>331</v>
      </c>
      <c r="C54" s="1" t="s">
        <v>332</v>
      </c>
      <c r="D54" s="3">
        <f>((D50)/(1+D50))^0.5</f>
        <v>0.55738641143329415</v>
      </c>
      <c r="E54" s="1" t="str">
        <f>"-"</f>
        <v>-</v>
      </c>
    </row>
    <row r="55" spans="2:5" ht="14.25" customHeight="1">
      <c r="B55" s="1" t="s">
        <v>333</v>
      </c>
      <c r="C55" s="1" t="s">
        <v>334</v>
      </c>
      <c r="D55" s="49">
        <f>1/(2*PI()*SQRT(IF(F44,F44,D44)*(10^-6)*IF(F43,F43,D43)*(10^-9)))/1000</f>
        <v>148.28386321191189</v>
      </c>
      <c r="E55" s="1" t="s">
        <v>187</v>
      </c>
    </row>
    <row r="56" spans="2:5" ht="14.25" customHeight="1">
      <c r="B56" s="1" t="s">
        <v>335</v>
      </c>
      <c r="C56" s="1" t="s">
        <v>336</v>
      </c>
      <c r="D56" s="49">
        <f>D55*D54</f>
        <v>82.651410389153028</v>
      </c>
      <c r="E56" s="1" t="s">
        <v>187</v>
      </c>
    </row>
    <row r="57" spans="2:5" ht="14.25" customHeight="1">
      <c r="B57" s="1" t="s">
        <v>337</v>
      </c>
      <c r="C57" s="1" t="s">
        <v>338</v>
      </c>
      <c r="D57" s="49">
        <f>SQRT((IF(F45,F45,D45)*(IF(F45,F45,D45)+IF(F44,F44,D44))))</f>
        <v>17.103216071838652</v>
      </c>
      <c r="E57" s="1" t="s">
        <v>320</v>
      </c>
    </row>
    <row r="58" spans="2:5" ht="14.25" customHeight="1">
      <c r="B58" s="1" t="s">
        <v>339</v>
      </c>
      <c r="C58" s="1" t="s">
        <v>340</v>
      </c>
      <c r="D58" s="49">
        <f>IF(F45,F45,D45)+IF(F44,F44,D44)-D57</f>
        <v>3.4967839281613493</v>
      </c>
      <c r="E58" s="1" t="s">
        <v>320</v>
      </c>
    </row>
    <row r="59" spans="2:5" ht="14.25" customHeight="1">
      <c r="B59" s="1" t="s">
        <v>341</v>
      </c>
      <c r="C59" s="1" t="s">
        <v>342</v>
      </c>
      <c r="D59" s="3">
        <f>D58/D51^2</f>
        <v>9.7118040150424578E-2</v>
      </c>
      <c r="E59" s="1" t="s">
        <v>320</v>
      </c>
    </row>
    <row r="60" spans="2:5" ht="14.25" customHeight="1">
      <c r="B60" s="1" t="s">
        <v>343</v>
      </c>
      <c r="C60" s="1" t="s">
        <v>344</v>
      </c>
      <c r="D60" s="3">
        <f>(SQRT(2*(('Design Spec'!D111*(10^-12))/((IF(F44,F44,D44)+IF(F45,F45,D45))*(10^-6)))))*(SQRT(2)*'Design Spec'!D83)</f>
        <v>2.1591979812722357</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12.382686704724827</v>
      </c>
      <c r="E65" s="62" t="s">
        <v>237</v>
      </c>
    </row>
    <row r="66" spans="2:5" ht="14.25" customHeight="1">
      <c r="B66" s="1" t="s">
        <v>347</v>
      </c>
      <c r="C66" s="1" t="s">
        <v>348</v>
      </c>
      <c r="D66" s="49">
        <f>CC!E27</f>
        <v>16.88950463148505</v>
      </c>
      <c r="E66" s="1" t="s">
        <v>237</v>
      </c>
    </row>
    <row r="67" spans="2:5" ht="15" customHeight="1">
      <c r="B67" s="1" t="s">
        <v>349</v>
      </c>
      <c r="C67" s="1" t="s">
        <v>997</v>
      </c>
      <c r="D67" s="49">
        <f>CC!J25</f>
        <v>26.72676741199232</v>
      </c>
      <c r="E67" s="62" t="s">
        <v>237</v>
      </c>
    </row>
    <row r="68" spans="2:5" ht="14.25" customHeight="1">
      <c r="B68" s="1" t="s">
        <v>350</v>
      </c>
      <c r="C68" s="1" t="s">
        <v>351</v>
      </c>
      <c r="D68" s="49">
        <f>CC!E24</f>
        <v>84.141823123595373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27.146826565723469</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15.776591835674132</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14.763567144560978</v>
      </c>
      <c r="E39" s="1" t="s">
        <v>386</v>
      </c>
    </row>
    <row r="40" spans="2:7" ht="14.25" customHeight="1">
      <c r="B40" s="1" t="s">
        <v>397</v>
      </c>
      <c r="C40" s="1" t="s">
        <v>398</v>
      </c>
      <c r="D40" s="49">
        <f>D28*D28*(((2*PI()*CC!E21*1000*D38*10^-6)/(D36/100))+(D27/1000)^-1)^-1</f>
        <v>0.1293056561718445</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12.382686704724827</v>
      </c>
      <c r="E60" s="62" t="s">
        <v>237</v>
      </c>
      <c r="F60" s="65"/>
    </row>
    <row r="61" spans="2:7" ht="15" customHeight="1">
      <c r="B61" s="1" t="s">
        <v>1072</v>
      </c>
      <c r="C61" s="1" t="s">
        <v>1186</v>
      </c>
      <c r="D61" s="49">
        <f>CC!J30</f>
        <v>8.7558817382194292</v>
      </c>
      <c r="E61" s="62" t="s">
        <v>237</v>
      </c>
      <c r="F61" s="65"/>
    </row>
    <row r="62" spans="2:7" ht="18" customHeight="1">
      <c r="B62" s="1" t="s">
        <v>1073</v>
      </c>
      <c r="C62" s="1" t="s">
        <v>1074</v>
      </c>
      <c r="D62" s="49">
        <f>IF(ISNUMBER(F61),F61,D61)/D68</f>
        <v>8.7558817382194292</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25.46495991179701</v>
      </c>
      <c r="E65" s="1" t="s">
        <v>237</v>
      </c>
      <c r="F65" s="66"/>
    </row>
    <row r="66" spans="2:14" ht="15" customHeight="1">
      <c r="B66" s="1" t="s">
        <v>1077</v>
      </c>
      <c r="C66" s="1" t="s">
        <v>1078</v>
      </c>
      <c r="D66" s="49">
        <f>'Device Setting'!D32/D68</f>
        <v>19.588430701382315</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14.78743289094583</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6.2099026661084444</v>
      </c>
      <c r="E78" s="1" t="s">
        <v>161</v>
      </c>
      <c r="F78" s="76"/>
      <c r="G78" s="76"/>
      <c r="H78" s="76"/>
      <c r="I78" s="76"/>
      <c r="J78" s="76"/>
      <c r="K78" s="76"/>
      <c r="L78" s="76"/>
      <c r="M78" s="76"/>
      <c r="N78" s="76"/>
    </row>
    <row r="79" spans="2:14" ht="15" customHeight="1">
      <c r="B79" s="1" t="s">
        <v>1194</v>
      </c>
      <c r="C79" s="1" t="s">
        <v>1195</v>
      </c>
      <c r="D79" s="200">
        <f>D70*D58*(D60/D68)^2</f>
        <v>12.419805332216889</v>
      </c>
      <c r="E79" s="1" t="s">
        <v>161</v>
      </c>
      <c r="F79" s="76"/>
      <c r="G79" s="76"/>
      <c r="H79" s="76"/>
      <c r="I79" s="76"/>
      <c r="J79" s="76"/>
      <c r="K79" s="76"/>
      <c r="L79" s="76"/>
      <c r="M79" s="76"/>
      <c r="N79" s="76"/>
    </row>
    <row r="80" spans="2:14" ht="14.25" customHeight="1">
      <c r="B80" s="1" t="s">
        <v>1211</v>
      </c>
      <c r="C80" s="1" t="s">
        <v>429</v>
      </c>
      <c r="D80" s="200">
        <f>(125-D73)/MAX(D78,D79)</f>
        <v>8.0516559901789027</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26.72676741199232</v>
      </c>
      <c r="E84" s="1" t="s">
        <v>237</v>
      </c>
      <c r="F84" s="65"/>
      <c r="G84" s="76"/>
      <c r="H84" s="76"/>
      <c r="I84" s="76"/>
      <c r="J84" s="76"/>
      <c r="K84" s="76"/>
      <c r="L84" s="76"/>
      <c r="M84" s="76"/>
      <c r="N84" s="76"/>
    </row>
    <row r="85" spans="2:14" ht="15" customHeight="1">
      <c r="B85" s="1" t="s">
        <v>1087</v>
      </c>
      <c r="C85" s="1" t="s">
        <v>1188</v>
      </c>
      <c r="D85" s="49">
        <f>CC!J26</f>
        <v>26.72676741199232</v>
      </c>
      <c r="E85" s="1" t="s">
        <v>237</v>
      </c>
      <c r="F85" s="65"/>
      <c r="G85" s="76"/>
      <c r="H85" s="76"/>
      <c r="I85" s="76"/>
      <c r="J85" s="76"/>
      <c r="K85" s="76"/>
      <c r="L85" s="76"/>
      <c r="M85" s="76"/>
      <c r="N85" s="76"/>
    </row>
    <row r="86" spans="2:14" ht="15" customHeight="1">
      <c r="B86" s="1" t="s">
        <v>1088</v>
      </c>
      <c r="C86" s="1" t="s">
        <v>432</v>
      </c>
      <c r="D86" s="49">
        <f>CC!E24</f>
        <v>84.141823123595373</v>
      </c>
      <c r="E86" s="1" t="s">
        <v>237</v>
      </c>
      <c r="F86" s="76"/>
      <c r="G86" s="76"/>
      <c r="H86" s="76"/>
      <c r="I86" s="76"/>
      <c r="J86" s="76"/>
      <c r="K86" s="76"/>
      <c r="L86" s="76"/>
      <c r="M86" s="76"/>
      <c r="N86" s="76"/>
    </row>
    <row r="87" spans="2:14" ht="15" customHeight="1">
      <c r="B87" s="1" t="s">
        <v>1089</v>
      </c>
      <c r="C87" s="1" t="s">
        <v>1090</v>
      </c>
      <c r="D87" s="49">
        <f>IF(ISNUMBER(F85),F85,D85)/D103</f>
        <v>13.36338370599616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100.97018774831444</v>
      </c>
      <c r="E90" s="1" t="s">
        <v>237</v>
      </c>
      <c r="F90" s="76"/>
      <c r="G90" s="76"/>
      <c r="H90" s="76"/>
      <c r="I90" s="76"/>
      <c r="J90" s="76"/>
      <c r="K90" s="76"/>
      <c r="L90" s="76"/>
      <c r="M90" s="76"/>
      <c r="N90" s="76"/>
    </row>
    <row r="91" spans="2:14" ht="14.25" customHeight="1">
      <c r="B91" s="1" t="s">
        <v>1093</v>
      </c>
      <c r="C91" s="1" t="s">
        <v>1094</v>
      </c>
      <c r="D91" s="49">
        <f>D86/D103</f>
        <v>42.070911561797686</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1.2554175692379961</v>
      </c>
      <c r="E100" s="1" t="s">
        <v>161</v>
      </c>
    </row>
    <row r="101" spans="2:5" ht="15" customHeight="1">
      <c r="B101" s="1" t="s">
        <v>1099</v>
      </c>
      <c r="C101" s="1" t="s">
        <v>429</v>
      </c>
      <c r="D101" s="49">
        <f>(125-D97)/D100</f>
        <v>79.654771806879566</v>
      </c>
      <c r="E101" s="1" t="s">
        <v>430</v>
      </c>
    </row>
    <row r="102" spans="2:5" ht="14.25" customHeight="1">
      <c r="B102" s="1" t="s">
        <v>1100</v>
      </c>
      <c r="C102" s="1" t="s">
        <v>435</v>
      </c>
      <c r="D102" s="49">
        <f>D100*D103*2*'Design Spec'!$D$107</f>
        <v>5.0216702769519843</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82.651410389153028</v>
      </c>
      <c r="E1" s="85" t="s">
        <v>187</v>
      </c>
    </row>
    <row r="2" spans="2:5" ht="16.5" hidden="1" customHeight="1">
      <c r="B2" s="85" t="s">
        <v>440</v>
      </c>
      <c r="C2" s="85" t="s">
        <v>441</v>
      </c>
      <c r="D2" s="86">
        <f>RTC!$BD$212</f>
        <v>361.85020285263948</v>
      </c>
      <c r="E2" s="85" t="s">
        <v>187</v>
      </c>
    </row>
    <row r="3" spans="2:5" ht="16.5" hidden="1" customHeight="1">
      <c r="B3" s="85" t="s">
        <v>442</v>
      </c>
      <c r="C3" s="85" t="s">
        <v>443</v>
      </c>
      <c r="D3" s="86">
        <f>MAX(D2,MIN('Design Spec'!D104,D2*1.5))</f>
        <v>361.85020285263948</v>
      </c>
      <c r="E3" s="85" t="s">
        <v>187</v>
      </c>
    </row>
    <row r="4" spans="2:5" ht="16.5" hidden="1" customHeight="1">
      <c r="B4" s="85" t="s">
        <v>444</v>
      </c>
      <c r="C4" s="85" t="s">
        <v>334</v>
      </c>
      <c r="D4" s="86">
        <f>'Res. Tank Design'!D55</f>
        <v>148.28386321191189</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374.9901847614608</v>
      </c>
      <c r="E19" s="1" t="s">
        <v>194</v>
      </c>
      <c r="I19" s="14"/>
      <c r="P19" s="15"/>
    </row>
    <row r="20" spans="2:16" ht="16.5" customHeight="1">
      <c r="B20" s="1" t="s">
        <v>461</v>
      </c>
      <c r="C20" s="1" t="s">
        <v>462</v>
      </c>
      <c r="D20" s="49">
        <f>(1/(D14*(10^3)))*((1/(2*D1*10^3))-(D13*(10^-9)))*10^12</f>
        <v>193.31678477347106</v>
      </c>
      <c r="E20" s="1" t="s">
        <v>194</v>
      </c>
      <c r="I20" s="14"/>
      <c r="P20" s="15"/>
    </row>
    <row r="21" spans="2:16" ht="16.5" customHeight="1">
      <c r="B21" s="1" t="s">
        <v>463</v>
      </c>
      <c r="C21" s="1" t="s">
        <v>464</v>
      </c>
      <c r="D21" s="93">
        <v>330</v>
      </c>
      <c r="E21" s="1" t="s">
        <v>194</v>
      </c>
      <c r="F21">
        <v>390</v>
      </c>
      <c r="I21" s="14"/>
      <c r="P21" s="15"/>
    </row>
    <row r="22" spans="2:16" ht="16.5" customHeight="1">
      <c r="C22" s="1" t="s">
        <v>1017</v>
      </c>
      <c r="D22" s="49">
        <f>MIN(D19/D21,D21/D20)</f>
        <v>0.96151329426015586</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14.87052190565162</v>
      </c>
      <c r="E24" s="94" t="s">
        <v>452</v>
      </c>
      <c r="F24" s="93">
        <v>11</v>
      </c>
      <c r="I24" s="14"/>
      <c r="P24" s="15"/>
    </row>
    <row r="25" spans="2:16" ht="16.5" customHeight="1">
      <c r="B25" s="95"/>
      <c r="C25" s="1" t="s">
        <v>1019</v>
      </c>
      <c r="D25" s="49">
        <f>D24/IF(ISNUMBER(F24),F24,D24)</f>
        <v>1.3518656277865109</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372.94563843236409</v>
      </c>
      <c r="E27" s="1" t="s">
        <v>187</v>
      </c>
      <c r="I27" s="14"/>
      <c r="P27" s="15"/>
    </row>
    <row r="28" spans="2:16" ht="16.5" customHeight="1">
      <c r="B28" s="1" t="s">
        <v>468</v>
      </c>
      <c r="C28" s="1" t="s">
        <v>469</v>
      </c>
      <c r="D28" s="49">
        <f>1/(2*(D21*F24*(10^-9)+D13*(10^-9)))/1000</f>
        <v>110.13215859030836</v>
      </c>
      <c r="E28" s="1" t="s">
        <v>187</v>
      </c>
      <c r="I28" s="14"/>
      <c r="P28" s="15"/>
    </row>
    <row r="29" spans="2:16" ht="16.5" customHeight="1">
      <c r="B29" s="1" t="s">
        <v>470</v>
      </c>
      <c r="C29" s="1" t="s">
        <v>471</v>
      </c>
      <c r="D29" s="49">
        <f>1/(2*(((D21*(10^-12))/((((D15+D16)*(10^-3))/(D12))+(1/(F24*(10^3)))))+(D13*(10^-9))))/1000</f>
        <v>576.7997346013492</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19.588430701382315</v>
      </c>
      <c r="E32" s="85" t="s">
        <v>237</v>
      </c>
    </row>
    <row r="33" spans="2:11" ht="16.5" hidden="1" customHeight="1">
      <c r="B33" s="85" t="s">
        <v>473</v>
      </c>
      <c r="C33" s="85" t="s">
        <v>474</v>
      </c>
      <c r="D33" s="86">
        <f>MAX(CC!E29,'Preliminary Calculation'!D11)</f>
        <v>14.682923388846547</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28.07779798109032</v>
      </c>
      <c r="E39" s="1" t="s">
        <v>372</v>
      </c>
    </row>
    <row r="40" spans="2:11" ht="16.5" customHeight="1">
      <c r="B40" s="1" t="s">
        <v>479</v>
      </c>
      <c r="C40" s="1" t="s">
        <v>480</v>
      </c>
      <c r="D40" s="27">
        <f>(MIN(D38,D39)/1000)*(D33)^2</f>
        <v>5.2891667564896503</v>
      </c>
      <c r="E40" s="1" t="s">
        <v>161</v>
      </c>
    </row>
    <row r="41" spans="2:11" ht="16.5" customHeight="1">
      <c r="B41" s="1" t="s">
        <v>481</v>
      </c>
      <c r="C41" s="1" t="s">
        <v>482</v>
      </c>
      <c r="D41" s="2">
        <v>1</v>
      </c>
      <c r="E41" s="1" t="s">
        <v>161</v>
      </c>
    </row>
    <row r="42" spans="2:11" ht="16.5" customHeight="1">
      <c r="B42" s="1" t="s">
        <v>483</v>
      </c>
      <c r="C42" s="1" t="s">
        <v>484</v>
      </c>
      <c r="D42" s="96">
        <f>_xlfn.CEILING.MATH(D40/D41)</f>
        <v>6</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5.174117741825687</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1.1699082492120967</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14.2</v>
      </c>
      <c r="F9" s="1" t="s">
        <v>320</v>
      </c>
      <c r="G9" s="146" t="str">
        <f>IF(E9,"","Res. Tank Design")</f>
        <v/>
      </c>
      <c r="I9" s="80"/>
      <c r="W9" s="81"/>
    </row>
    <row r="10" spans="2:23" ht="14.25" customHeight="1">
      <c r="B10" s="143"/>
      <c r="C10" s="1" t="s">
        <v>318</v>
      </c>
      <c r="D10" s="1" t="s">
        <v>319</v>
      </c>
      <c r="E10" s="147">
        <f>'Res. Tank Design'!F44</f>
        <v>6.4</v>
      </c>
      <c r="F10" s="1" t="s">
        <v>320</v>
      </c>
      <c r="G10" s="146" t="str">
        <f>IF(E10,"","Res. Tank Design")</f>
        <v/>
      </c>
      <c r="I10" s="80"/>
      <c r="W10" s="81"/>
    </row>
    <row r="11" spans="2:23" ht="14.25" customHeight="1">
      <c r="B11" s="143"/>
      <c r="C11" s="1" t="s">
        <v>316</v>
      </c>
      <c r="D11" s="1" t="s">
        <v>317</v>
      </c>
      <c r="E11" s="147">
        <f>'Res. Tank Design'!F43</f>
        <v>180</v>
      </c>
      <c r="F11" s="1" t="s">
        <v>200</v>
      </c>
      <c r="G11" s="146" t="str">
        <f>IF(E11,"","Res. Tank Design")</f>
        <v/>
      </c>
      <c r="I11" s="80"/>
      <c r="W11" s="81"/>
    </row>
    <row r="12" spans="2:23" ht="14.25" customHeight="1">
      <c r="B12" s="143"/>
      <c r="C12" s="1" t="s">
        <v>721</v>
      </c>
      <c r="D12" s="1" t="s">
        <v>268</v>
      </c>
      <c r="E12" s="147">
        <f>'Res. Tank Design'!F9</f>
        <v>4.9819000000000004</v>
      </c>
      <c r="F12" s="1" t="str">
        <f>"-"</f>
        <v>-</v>
      </c>
      <c r="G12" s="146" t="str">
        <f>IF(E12,"","Res. Tank Design")</f>
        <v/>
      </c>
      <c r="I12" s="80"/>
      <c r="W12" s="81"/>
    </row>
    <row r="13" spans="2:23" ht="14.25" customHeight="1">
      <c r="B13" s="143"/>
      <c r="C13" s="54" t="s">
        <v>722</v>
      </c>
      <c r="D13" s="54" t="s">
        <v>723</v>
      </c>
      <c r="E13" s="147">
        <f>'Device Setting'!$F$83</f>
        <v>3</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390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4.9819000000000004</v>
      </c>
      <c r="D10" s="10">
        <f>IF('Res. Tank Design'!$F$9,'Res. Tank Design'!$F$9,'Res. Tank Design'!$D$9)</f>
        <v>4.9819000000000004</v>
      </c>
      <c r="E10" s="10">
        <f>IF('Res. Tank Design'!$F$9,'Res. Tank Design'!$F$9,'Res. Tank Design'!$D$9)</f>
        <v>4.9819000000000004</v>
      </c>
      <c r="F10" s="10">
        <f>IF('Res. Tank Design'!$F$9,'Res. Tank Design'!$F$9,'Res. Tank Design'!$D$9)</f>
        <v>4.9819000000000004</v>
      </c>
      <c r="G10" s="10">
        <f>IF('Res. Tank Design'!$F$9,'Res. Tank Design'!$F$9,'Res. Tank Design'!$D$9)</f>
        <v>4.9819000000000004</v>
      </c>
      <c r="H10" s="10">
        <f>IF('Res. Tank Design'!$F$9,'Res. Tank Design'!$F$9,'Res. Tank Design'!$D$9)</f>
        <v>4.9819000000000004</v>
      </c>
      <c r="I10" s="10">
        <f>IF('Res. Tank Design'!$F$9,'Res. Tank Design'!$F$9,'Res. Tank Design'!$D$9)</f>
        <v>4.9819000000000004</v>
      </c>
      <c r="J10" s="10">
        <f>IF('Res. Tank Design'!$F$9,'Res. Tank Design'!$F$9,'Res. Tank Design'!$D$9)</f>
        <v>4.9819000000000004</v>
      </c>
      <c r="K10" s="10">
        <f>IF('Res. Tank Design'!$F$9,'Res. Tank Design'!$F$9,'Res. Tank Design'!$D$9)</f>
        <v>4.9819000000000004</v>
      </c>
      <c r="L10" s="10">
        <f>IF('Res. Tank Design'!$F$9,'Res. Tank Design'!$F$9,'Res. Tank Design'!$D$9)</f>
        <v>4.9819000000000004</v>
      </c>
      <c r="M10" s="10">
        <f>IF('Res. Tank Design'!$F$9,'Res. Tank Design'!$F$9,'Res. Tank Design'!$D$9)</f>
        <v>4.9819000000000004</v>
      </c>
      <c r="N10" s="10">
        <f>IF('Res. Tank Design'!$F$9,'Res. Tank Design'!$F$9,'Res. Tank Design'!$D$9)</f>
        <v>4.9819000000000004</v>
      </c>
      <c r="O10" s="10">
        <f>IF('Res. Tank Design'!$F$9,'Res. Tank Design'!$F$9,'Res. Tank Design'!$D$9)</f>
        <v>4.9819000000000004</v>
      </c>
      <c r="P10" s="10">
        <f>IF('Res. Tank Design'!$F$9,'Res. Tank Design'!$F$9,'Res. Tank Design'!$D$9)</f>
        <v>4.9819000000000004</v>
      </c>
      <c r="Q10" s="10">
        <f>IF('Res. Tank Design'!$F$9,'Res. Tank Design'!$F$9,'Res. Tank Design'!$D$9)</f>
        <v>4.9819000000000004</v>
      </c>
      <c r="R10" s="10">
        <f>IF('Res. Tank Design'!$F$9,'Res. Tank Design'!$F$9,'Res. Tank Design'!$D$9)</f>
        <v>4.9819000000000004</v>
      </c>
      <c r="S10" s="10">
        <f>IF('Res. Tank Design'!$F$9,'Res. Tank Design'!$F$9,'Res. Tank Design'!$D$9)</f>
        <v>4.9819000000000004</v>
      </c>
      <c r="T10" s="10">
        <f>IF('Res. Tank Design'!$F$9,'Res. Tank Design'!$F$9,'Res. Tank Design'!$D$9)</f>
        <v>4.9819000000000004</v>
      </c>
      <c r="U10" s="10">
        <f>IF('Res. Tank Design'!$F$9,'Res. Tank Design'!$F$9,'Res. Tank Design'!$D$9)</f>
        <v>4.9819000000000004</v>
      </c>
      <c r="V10" s="10">
        <f>IF('Res. Tank Design'!$F$9,'Res. Tank Design'!$F$9,'Res. Tank Design'!$D$9)</f>
        <v>4.9819000000000004</v>
      </c>
      <c r="W10" s="10">
        <f>IF('Res. Tank Design'!$F$9,'Res. Tank Design'!$F$9,'Res. Tank Design'!$D$9)</f>
        <v>4.9819000000000004</v>
      </c>
      <c r="X10" s="10">
        <f>IF('Res. Tank Design'!$F$9,'Res. Tank Design'!$F$9,'Res. Tank Design'!$D$9)</f>
        <v>4.9819000000000004</v>
      </c>
      <c r="Y10" s="10">
        <f>IF('Res. Tank Design'!$F$9,'Res. Tank Design'!$F$9,'Res. Tank Design'!$D$9)</f>
        <v>4.9819000000000004</v>
      </c>
      <c r="Z10" s="10">
        <f>IF('Res. Tank Design'!$F$9,'Res. Tank Design'!$F$9,'Res. Tank Design'!$D$9)</f>
        <v>4.9819000000000004</v>
      </c>
      <c r="AA10" s="10">
        <f>IF('Res. Tank Design'!$F$9,'Res. Tank Design'!$F$9,'Res. Tank Design'!$D$9)</f>
        <v>4.9819000000000004</v>
      </c>
      <c r="AB10" s="10">
        <f>IF('Res. Tank Design'!$F$9,'Res. Tank Design'!$F$9,'Res. Tank Design'!$D$9)</f>
        <v>4.9819000000000004</v>
      </c>
      <c r="AC10" s="10">
        <f>IF('Res. Tank Design'!$F$9,'Res. Tank Design'!$F$9,'Res. Tank Design'!$D$9)</f>
        <v>4.9819000000000004</v>
      </c>
      <c r="AD10" s="10">
        <f>IF('Res. Tank Design'!$F$9,'Res. Tank Design'!$F$9,'Res. Tank Design'!$D$9)</f>
        <v>4.9819000000000004</v>
      </c>
      <c r="AE10" s="10">
        <f>IF('Res. Tank Design'!$F$9,'Res. Tank Design'!$F$9,'Res. Tank Design'!$D$9)</f>
        <v>4.9819000000000004</v>
      </c>
      <c r="AF10" s="10">
        <f>IF('Res. Tank Design'!$F$9,'Res. Tank Design'!$F$9,'Res. Tank Design'!$D$9)</f>
        <v>4.9819000000000004</v>
      </c>
      <c r="AG10" s="10">
        <f>IF('Res. Tank Design'!$F$9,'Res. Tank Design'!$F$9,'Res. Tank Design'!$D$9)</f>
        <v>4.9819000000000004</v>
      </c>
      <c r="AH10" s="10">
        <f>IF('Res. Tank Design'!$F$9,'Res. Tank Design'!$F$9,'Res. Tank Design'!$D$9)</f>
        <v>4.9819000000000004</v>
      </c>
      <c r="AI10" s="10">
        <f>IF('Res. Tank Design'!$F$9,'Res. Tank Design'!$F$9,'Res. Tank Design'!$D$9)</f>
        <v>4.9819000000000004</v>
      </c>
      <c r="AJ10" s="10">
        <f>IF('Res. Tank Design'!$F$9,'Res. Tank Design'!$F$9,'Res. Tank Design'!$D$9)</f>
        <v>4.9819000000000004</v>
      </c>
      <c r="AK10" s="10">
        <f>IF('Res. Tank Design'!$F$9,'Res. Tank Design'!$F$9,'Res. Tank Design'!$D$9)</f>
        <v>4.9819000000000004</v>
      </c>
      <c r="AL10" s="10">
        <f>IF('Res. Tank Design'!$F$9,'Res. Tank Design'!$F$9,'Res. Tank Design'!$D$9)</f>
        <v>4.9819000000000004</v>
      </c>
      <c r="AM10" s="10">
        <f>IF('Res. Tank Design'!$F$9,'Res. Tank Design'!$F$9,'Res. Tank Design'!$D$9)</f>
        <v>4.9819000000000004</v>
      </c>
      <c r="AN10" s="10">
        <f>IF('Res. Tank Design'!$F$9,'Res. Tank Design'!$F$9,'Res. Tank Design'!$D$9)</f>
        <v>4.9819000000000004</v>
      </c>
      <c r="AO10" s="10">
        <f>IF('Res. Tank Design'!$F$9,'Res. Tank Design'!$F$9,'Res. Tank Design'!$D$9)</f>
        <v>4.9819000000000004</v>
      </c>
      <c r="AP10" s="10">
        <f>IF('Res. Tank Design'!$F$9,'Res. Tank Design'!$F$9,'Res. Tank Design'!$D$9)</f>
        <v>4.9819000000000004</v>
      </c>
      <c r="AQ10" s="10">
        <f>IF('Res. Tank Design'!$F$9,'Res. Tank Design'!$F$9,'Res. Tank Design'!$D$9)</f>
        <v>4.9819000000000004</v>
      </c>
      <c r="AR10" s="10">
        <f>IF('Res. Tank Design'!$F$9,'Res. Tank Design'!$F$9,'Res. Tank Design'!$D$9)</f>
        <v>4.9819000000000004</v>
      </c>
      <c r="AS10" s="10">
        <f>IF('Res. Tank Design'!$F$9,'Res. Tank Design'!$F$9,'Res. Tank Design'!$D$9)</f>
        <v>4.9819000000000004</v>
      </c>
      <c r="AT10" s="10">
        <f>IF('Res. Tank Design'!$F$9,'Res. Tank Design'!$F$9,'Res. Tank Design'!$D$9)</f>
        <v>4.9819000000000004</v>
      </c>
      <c r="AU10" s="10">
        <f>IF('Res. Tank Design'!$F$9,'Res. Tank Design'!$F$9,'Res. Tank Design'!$D$9)</f>
        <v>4.9819000000000004</v>
      </c>
      <c r="AV10" s="10">
        <f>IF('Res. Tank Design'!$F$9,'Res. Tank Design'!$F$9,'Res. Tank Design'!$D$9)</f>
        <v>4.9819000000000004</v>
      </c>
      <c r="AW10" s="10">
        <f>IF('Res. Tank Design'!$F$9,'Res. Tank Design'!$F$9,'Res. Tank Design'!$D$9)</f>
        <v>4.9819000000000004</v>
      </c>
      <c r="AX10" s="10">
        <f>IF('Res. Tank Design'!$F$9,'Res. Tank Design'!$F$9,'Res. Tank Design'!$D$9)</f>
        <v>4.9819000000000004</v>
      </c>
      <c r="AY10" s="10">
        <f>IF('Res. Tank Design'!$F$9,'Res. Tank Design'!$F$9,'Res. Tank Design'!$D$9)</f>
        <v>4.9819000000000004</v>
      </c>
      <c r="AZ10" s="10">
        <f>IF('Res. Tank Design'!$F$9,'Res. Tank Design'!$F$9,'Res. Tank Design'!$D$9)</f>
        <v>4.9819000000000004</v>
      </c>
      <c r="BA10" s="10">
        <f>IF('Res. Tank Design'!$F$9,'Res. Tank Design'!$F$9,'Res. Tank Design'!$D$9)</f>
        <v>4.9819000000000004</v>
      </c>
      <c r="BB10" s="10">
        <f>IF('Res. Tank Design'!$F$9,'Res. Tank Design'!$F$9,'Res. Tank Design'!$D$9)</f>
        <v>4.9819000000000004</v>
      </c>
      <c r="BC10" s="10">
        <f>IF('Res. Tank Design'!$F$9,'Res. Tank Design'!$F$9,'Res. Tank Design'!$D$9)</f>
        <v>4.9819000000000004</v>
      </c>
      <c r="BD10" s="10">
        <f>IF('Res. Tank Design'!$F$9,'Res. Tank Design'!$F$9,'Res. Tank Design'!$D$9)</f>
        <v>4.9819000000000004</v>
      </c>
      <c r="BE10" s="10">
        <f>IF('Res. Tank Design'!$F$9,'Res. Tank Design'!$F$9,'Res. Tank Design'!$D$9)</f>
        <v>4.9819000000000004</v>
      </c>
      <c r="BF10" s="10">
        <f>IF('Res. Tank Design'!$F$9,'Res. Tank Design'!$F$9,'Res. Tank Design'!$D$9)</f>
        <v>4.9819000000000004</v>
      </c>
      <c r="BG10" s="10">
        <f>IF('Res. Tank Design'!$F$9,'Res. Tank Design'!$F$9,'Res. Tank Design'!$D$9)</f>
        <v>4.9819000000000004</v>
      </c>
      <c r="BH10" s="10">
        <f>IF('Res. Tank Design'!$F$9,'Res. Tank Design'!$F$9,'Res. Tank Design'!$D$9)</f>
        <v>4.9819000000000004</v>
      </c>
      <c r="BI10" s="10">
        <f>IF('Res. Tank Design'!$F$9,'Res. Tank Design'!$F$9,'Res. Tank Design'!$D$9)</f>
        <v>4.9819000000000004</v>
      </c>
      <c r="BJ10" s="10">
        <f>IF('Res. Tank Design'!$F$9,'Res. Tank Design'!$F$9,'Res. Tank Design'!$D$9)</f>
        <v>4.9819000000000004</v>
      </c>
      <c r="BK10" s="10">
        <f>IF('Res. Tank Design'!$F$9,'Res. Tank Design'!$F$9,'Res. Tank Design'!$D$9)</f>
        <v>4.9819000000000004</v>
      </c>
      <c r="BL10" s="10">
        <f>IF('Res. Tank Design'!$F$9,'Res. Tank Design'!$F$9,'Res. Tank Design'!$D$9)</f>
        <v>4.9819000000000004</v>
      </c>
      <c r="BM10" s="10">
        <f>IF('Res. Tank Design'!$F$9,'Res. Tank Design'!$F$9,'Res. Tank Design'!$D$9)</f>
        <v>4.9819000000000004</v>
      </c>
      <c r="BN10" s="10">
        <f>IF('Res. Tank Design'!$F$9,'Res. Tank Design'!$F$9,'Res. Tank Design'!$D$9)</f>
        <v>4.9819000000000004</v>
      </c>
      <c r="BO10" s="10">
        <f>IF('Res. Tank Design'!$F$9,'Res. Tank Design'!$F$9,'Res. Tank Design'!$D$9)</f>
        <v>4.9819000000000004</v>
      </c>
      <c r="BP10" s="10">
        <f>IF('Res. Tank Design'!$F$9,'Res. Tank Design'!$F$9,'Res. Tank Design'!$D$9)</f>
        <v>4.9819000000000004</v>
      </c>
      <c r="BQ10" s="10">
        <f>IF('Res. Tank Design'!$F$9,'Res. Tank Design'!$F$9,'Res. Tank Design'!$D$9)</f>
        <v>4.9819000000000004</v>
      </c>
      <c r="BR10" s="10">
        <f>IF('Res. Tank Design'!$F$9,'Res. Tank Design'!$F$9,'Res. Tank Design'!$D$9)</f>
        <v>4.9819000000000004</v>
      </c>
      <c r="BS10" s="10">
        <f>IF('Res. Tank Design'!$F$9,'Res. Tank Design'!$F$9,'Res. Tank Design'!$D$9)</f>
        <v>4.9819000000000004</v>
      </c>
      <c r="BT10" s="10">
        <f>IF('Res. Tank Design'!$F$9,'Res. Tank Design'!$F$9,'Res. Tank Design'!$D$9)</f>
        <v>4.9819000000000004</v>
      </c>
      <c r="BU10" s="10">
        <f>IF('Res. Tank Design'!$F$9,'Res. Tank Design'!$F$9,'Res. Tank Design'!$D$9)</f>
        <v>4.9819000000000004</v>
      </c>
      <c r="BV10" s="10">
        <f>IF('Res. Tank Design'!$F$9,'Res. Tank Design'!$F$9,'Res. Tank Design'!$D$9)</f>
        <v>4.9819000000000004</v>
      </c>
      <c r="BW10" s="10">
        <f>IF('Res. Tank Design'!$F$9,'Res. Tank Design'!$F$9,'Res. Tank Design'!$D$9)</f>
        <v>4.9819000000000004</v>
      </c>
      <c r="BX10" s="10">
        <f>IF('Res. Tank Design'!$F$9,'Res. Tank Design'!$F$9,'Res. Tank Design'!$D$9)</f>
        <v>4.9819000000000004</v>
      </c>
      <c r="BY10" s="10">
        <f>IF('Res. Tank Design'!$F$9,'Res. Tank Design'!$F$9,'Res. Tank Design'!$D$9)</f>
        <v>4.9819000000000004</v>
      </c>
      <c r="BZ10" s="10">
        <f>IF('Res. Tank Design'!$F$9,'Res. Tank Design'!$F$9,'Res. Tank Design'!$D$9)</f>
        <v>4.9819000000000004</v>
      </c>
      <c r="CA10" s="10">
        <f>IF('Res. Tank Design'!$F$9,'Res. Tank Design'!$F$9,'Res. Tank Design'!$D$9)</f>
        <v>4.9819000000000004</v>
      </c>
      <c r="CB10" s="10">
        <f>IF('Res. Tank Design'!$F$9,'Res. Tank Design'!$F$9,'Res. Tank Design'!$D$9)</f>
        <v>4.9819000000000004</v>
      </c>
      <c r="CC10" s="10">
        <f>IF('Res. Tank Design'!$F$9,'Res. Tank Design'!$F$9,'Res. Tank Design'!$D$9)</f>
        <v>4.9819000000000004</v>
      </c>
      <c r="CD10" s="10">
        <f>IF('Res. Tank Design'!$F$9,'Res. Tank Design'!$F$9,'Res. Tank Design'!$D$9)</f>
        <v>4.9819000000000004</v>
      </c>
      <c r="CE10" s="10">
        <f>IF('Res. Tank Design'!$F$9,'Res. Tank Design'!$F$9,'Res. Tank Design'!$D$9)</f>
        <v>4.9819000000000004</v>
      </c>
      <c r="CF10" s="10">
        <f>IF('Res. Tank Design'!$F$9,'Res. Tank Design'!$F$9,'Res. Tank Design'!$D$9)</f>
        <v>4.9819000000000004</v>
      </c>
      <c r="CG10" s="10">
        <f>IF('Res. Tank Design'!$F$9,'Res. Tank Design'!$F$9,'Res. Tank Design'!$D$9)</f>
        <v>4.9819000000000004</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10.184107885549246</v>
      </c>
      <c r="D16" s="10">
        <f t="shared" si="9"/>
        <v>5.1176207301120114</v>
      </c>
      <c r="E16" s="10">
        <f t="shared" si="9"/>
        <v>3.4404222208717554</v>
      </c>
      <c r="F16" s="10">
        <f t="shared" si="9"/>
        <v>2.6108536123047963</v>
      </c>
      <c r="G16" s="10">
        <f t="shared" si="9"/>
        <v>2.1206927955368053</v>
      </c>
      <c r="H16" s="10">
        <f t="shared" si="9"/>
        <v>1.8006337348323633</v>
      </c>
      <c r="I16" s="10">
        <f t="shared" si="9"/>
        <v>1.5782154167076732</v>
      </c>
      <c r="J16" s="10">
        <f t="shared" si="9"/>
        <v>1.4173076643698466</v>
      </c>
      <c r="K16" s="10">
        <f t="shared" si="9"/>
        <v>1.2979437744552802</v>
      </c>
      <c r="L16" s="10">
        <f t="shared" si="9"/>
        <v>1.2082582811175557</v>
      </c>
      <c r="M16" s="10">
        <f t="shared" si="9"/>
        <v>1.1408279725654404</v>
      </c>
      <c r="N16" s="10">
        <f t="shared" si="9"/>
        <v>1.0908494085944771</v>
      </c>
      <c r="O16" s="10">
        <f t="shared" si="9"/>
        <v>1.0551664664382234</v>
      </c>
      <c r="P16" s="10">
        <f t="shared" si="9"/>
        <v>1.0317261802143798</v>
      </c>
      <c r="Q16" s="10">
        <f t="shared" si="9"/>
        <v>1.0192675646177061</v>
      </c>
      <c r="R16" s="10">
        <f t="shared" si="9"/>
        <v>1.0171479945254907</v>
      </c>
      <c r="S16" s="10">
        <f t="shared" si="9"/>
        <v>1.0252600223359625</v>
      </c>
      <c r="T16" s="10">
        <f t="shared" si="9"/>
        <v>1.044017825249967</v>
      </c>
      <c r="U16" s="10">
        <f t="shared" si="9"/>
        <v>1.0744100089845188</v>
      </c>
      <c r="V16" s="10">
        <f t="shared" si="9"/>
        <v>1.1181317088552554</v>
      </c>
      <c r="W16" s="10">
        <f t="shared" si="9"/>
        <v>1.1778304603683167</v>
      </c>
      <c r="X16" s="10">
        <f t="shared" si="9"/>
        <v>1.2575371775446489</v>
      </c>
      <c r="Y16" s="10">
        <f t="shared" si="9"/>
        <v>1.3634265512862485</v>
      </c>
      <c r="Z16" s="10">
        <f t="shared" si="9"/>
        <v>1.5052105207047521</v>
      </c>
      <c r="AA16" s="10">
        <f t="shared" si="9"/>
        <v>1.6988498056773038</v>
      </c>
      <c r="AB16" s="10">
        <f t="shared" si="9"/>
        <v>1.972282405615807</v>
      </c>
      <c r="AC16" s="10">
        <f t="shared" si="9"/>
        <v>2.3789474721131398</v>
      </c>
      <c r="AD16" s="10">
        <f t="shared" si="9"/>
        <v>3.0350753757740452</v>
      </c>
      <c r="AE16" s="10">
        <f t="shared" si="9"/>
        <v>4.2496014055903411</v>
      </c>
      <c r="AF16" s="10">
        <f t="shared" si="9"/>
        <v>7.2046076222087949</v>
      </c>
      <c r="AG16" s="10">
        <f t="shared" si="9"/>
        <v>19.715316110342975</v>
      </c>
      <c r="AH16" s="10">
        <f t="shared" si="9"/>
        <v>24.451613471657435</v>
      </c>
    </row>
    <row r="17" spans="2:85" ht="16.5" customHeight="1">
      <c r="B17" s="10" t="s">
        <v>781</v>
      </c>
      <c r="C17" s="10">
        <f t="shared" ref="C17:AH17" si="10">2*C$10*(C$5+C$11*C$6)/(SQRT(2)*C9*SIN(C$4))</f>
        <v>5.3087370892756702</v>
      </c>
      <c r="D17" s="10">
        <f t="shared" si="10"/>
        <v>2.6676959125051973</v>
      </c>
      <c r="E17" s="10">
        <f t="shared" si="10"/>
        <v>1.7934115832203832</v>
      </c>
      <c r="F17" s="10">
        <f t="shared" si="10"/>
        <v>1.3609768830099471</v>
      </c>
      <c r="G17" s="10">
        <f t="shared" si="10"/>
        <v>1.1054675210776965</v>
      </c>
      <c r="H17" s="10">
        <f t="shared" si="10"/>
        <v>0.93862822347644481</v>
      </c>
      <c r="I17" s="10">
        <f t="shared" si="10"/>
        <v>0.82268675977314876</v>
      </c>
      <c r="J17" s="10">
        <f t="shared" si="10"/>
        <v>0.7388093144055583</v>
      </c>
      <c r="K17" s="10">
        <f t="shared" si="10"/>
        <v>0.6765877122160503</v>
      </c>
      <c r="L17" s="10">
        <f t="shared" si="10"/>
        <v>0.62983676356127904</v>
      </c>
      <c r="M17" s="10">
        <f t="shared" si="10"/>
        <v>0.59468692186921901</v>
      </c>
      <c r="N17" s="10">
        <f t="shared" si="10"/>
        <v>0.56863426618222745</v>
      </c>
      <c r="O17" s="10">
        <f t="shared" si="10"/>
        <v>0.55003358356886112</v>
      </c>
      <c r="P17" s="10">
        <f t="shared" si="10"/>
        <v>0.53781471096281497</v>
      </c>
      <c r="Q17" s="10">
        <f t="shared" si="10"/>
        <v>0.5313203262368893</v>
      </c>
      <c r="R17" s="10">
        <f t="shared" si="10"/>
        <v>0.53021544395477715</v>
      </c>
      <c r="S17" s="10">
        <f t="shared" si="10"/>
        <v>0.53444405419640595</v>
      </c>
      <c r="T17" s="10">
        <f t="shared" si="10"/>
        <v>0.54422205784306799</v>
      </c>
      <c r="U17" s="10">
        <f t="shared" si="10"/>
        <v>0.56006479191746195</v>
      </c>
      <c r="V17" s="10">
        <f t="shared" si="10"/>
        <v>0.58285589078625011</v>
      </c>
      <c r="W17" s="10">
        <f t="shared" si="10"/>
        <v>0.61397545274518628</v>
      </c>
      <c r="X17" s="10">
        <f t="shared" si="10"/>
        <v>0.65552469893284881</v>
      </c>
      <c r="Y17" s="10">
        <f t="shared" si="10"/>
        <v>0.71072235120240623</v>
      </c>
      <c r="Z17" s="10">
        <f t="shared" si="10"/>
        <v>0.78463101611205155</v>
      </c>
      <c r="AA17" s="10">
        <f t="shared" si="10"/>
        <v>0.88557064338497749</v>
      </c>
      <c r="AB17" s="10">
        <f t="shared" si="10"/>
        <v>1.0281046582465379</v>
      </c>
      <c r="AC17" s="10">
        <f t="shared" si="10"/>
        <v>1.2400896397185519</v>
      </c>
      <c r="AD17" s="10">
        <f t="shared" si="10"/>
        <v>1.5821137597120023</v>
      </c>
      <c r="AE17" s="10">
        <f t="shared" si="10"/>
        <v>2.2152177539779436</v>
      </c>
      <c r="AF17" s="10">
        <f t="shared" si="10"/>
        <v>3.7555933349811803</v>
      </c>
      <c r="AG17" s="10">
        <f t="shared" si="10"/>
        <v>10.277132866029849</v>
      </c>
      <c r="AH17" s="10">
        <f t="shared" si="10"/>
        <v>12.746053830970363</v>
      </c>
    </row>
    <row r="18" spans="2:85" ht="16.5" customHeight="1">
      <c r="B18" s="10" t="s">
        <v>782</v>
      </c>
      <c r="C18" s="10">
        <f t="shared" ref="C18:AH18" si="11">2*C10*(C5+C11*C6)/(SQRT(2)*C9*SIN(PI()/2))</f>
        <v>0.52998936170212774</v>
      </c>
      <c r="D18" s="10">
        <f t="shared" si="11"/>
        <v>0.52998936170212774</v>
      </c>
      <c r="E18" s="10">
        <f t="shared" si="11"/>
        <v>0.52998936170212774</v>
      </c>
      <c r="F18" s="10">
        <f t="shared" si="11"/>
        <v>0.52998936170212774</v>
      </c>
      <c r="G18" s="10">
        <f t="shared" si="11"/>
        <v>0.52998936170212774</v>
      </c>
      <c r="H18" s="10">
        <f t="shared" si="11"/>
        <v>0.52998936170212774</v>
      </c>
      <c r="I18" s="10">
        <f t="shared" si="11"/>
        <v>0.52998936170212774</v>
      </c>
      <c r="J18" s="10">
        <f t="shared" si="11"/>
        <v>0.52998936170212774</v>
      </c>
      <c r="K18" s="10">
        <f t="shared" si="11"/>
        <v>0.52998936170212774</v>
      </c>
      <c r="L18" s="10">
        <f t="shared" si="11"/>
        <v>0.52998936170212774</v>
      </c>
      <c r="M18" s="10">
        <f t="shared" si="11"/>
        <v>0.52998936170212774</v>
      </c>
      <c r="N18" s="10">
        <f t="shared" si="11"/>
        <v>0.52998936170212774</v>
      </c>
      <c r="O18" s="10">
        <f t="shared" si="11"/>
        <v>0.52998936170212774</v>
      </c>
      <c r="P18" s="10">
        <f t="shared" si="11"/>
        <v>0.52998936170212774</v>
      </c>
      <c r="Q18" s="10">
        <f t="shared" si="11"/>
        <v>0.52998936170212774</v>
      </c>
      <c r="R18" s="10">
        <f t="shared" si="11"/>
        <v>0.52998936170212774</v>
      </c>
      <c r="S18" s="10">
        <f t="shared" si="11"/>
        <v>0.52998936170212774</v>
      </c>
      <c r="T18" s="10">
        <f t="shared" si="11"/>
        <v>0.52998936170212774</v>
      </c>
      <c r="U18" s="10">
        <f t="shared" si="11"/>
        <v>0.52998936170212774</v>
      </c>
      <c r="V18" s="10">
        <f t="shared" si="11"/>
        <v>0.52998936170212774</v>
      </c>
      <c r="W18" s="10">
        <f t="shared" si="11"/>
        <v>0.52998936170212774</v>
      </c>
      <c r="X18" s="10">
        <f t="shared" si="11"/>
        <v>0.52998936170212774</v>
      </c>
      <c r="Y18" s="10">
        <f t="shared" si="11"/>
        <v>0.52998936170212774</v>
      </c>
      <c r="Z18" s="10">
        <f t="shared" si="11"/>
        <v>0.52998936170212774</v>
      </c>
      <c r="AA18" s="10">
        <f t="shared" si="11"/>
        <v>0.52998936170212774</v>
      </c>
      <c r="AB18" s="10">
        <f t="shared" si="11"/>
        <v>0.52998936170212774</v>
      </c>
      <c r="AC18" s="10">
        <f t="shared" si="11"/>
        <v>0.52998936170212774</v>
      </c>
      <c r="AD18" s="10">
        <f t="shared" si="11"/>
        <v>0.52998936170212774</v>
      </c>
      <c r="AE18" s="10">
        <f t="shared" si="11"/>
        <v>0.52998936170212774</v>
      </c>
      <c r="AF18" s="10">
        <f t="shared" si="11"/>
        <v>0.52998936170212774</v>
      </c>
      <c r="AG18" s="10">
        <f t="shared" si="11"/>
        <v>0.52998936170212774</v>
      </c>
      <c r="AH18" s="10">
        <f t="shared" si="11"/>
        <v>0.52998936170212774</v>
      </c>
      <c r="AI18" s="10">
        <f t="shared" ref="AI18:BN18" si="12">2*AI10*(AI5+AI11*AI6)/(SQRT(2)*AI9*SIN(PI()/2))</f>
        <v>0.52998936170212774</v>
      </c>
      <c r="AJ18" s="10">
        <f t="shared" si="12"/>
        <v>0.52998936170212774</v>
      </c>
      <c r="AK18" s="10">
        <f t="shared" si="12"/>
        <v>0.52998936170212774</v>
      </c>
      <c r="AL18" s="10">
        <f t="shared" si="12"/>
        <v>0.52998936170212774</v>
      </c>
      <c r="AM18" s="10">
        <f t="shared" si="12"/>
        <v>0.52998936170212774</v>
      </c>
      <c r="AN18" s="10">
        <f t="shared" si="12"/>
        <v>0.52998936170212774</v>
      </c>
      <c r="AO18" s="10">
        <f t="shared" si="12"/>
        <v>0.52998936170212774</v>
      </c>
      <c r="AP18" s="10">
        <f t="shared" si="12"/>
        <v>0.52998936170212774</v>
      </c>
      <c r="AQ18" s="10">
        <f t="shared" si="12"/>
        <v>0.52998936170212774</v>
      </c>
      <c r="AR18" s="10">
        <f t="shared" si="12"/>
        <v>0.52998936170212774</v>
      </c>
      <c r="AS18" s="10">
        <f t="shared" si="12"/>
        <v>0.52998936170212774</v>
      </c>
      <c r="AT18" s="10">
        <f t="shared" si="12"/>
        <v>0.52998936170212774</v>
      </c>
      <c r="AU18" s="10">
        <f t="shared" si="12"/>
        <v>0.52998936170212774</v>
      </c>
      <c r="AV18" s="10">
        <f t="shared" si="12"/>
        <v>0.52998936170212774</v>
      </c>
      <c r="AW18" s="10">
        <f t="shared" si="12"/>
        <v>0.52998936170212774</v>
      </c>
      <c r="AX18" s="10">
        <f t="shared" si="12"/>
        <v>0.52998936170212774</v>
      </c>
      <c r="AY18" s="10">
        <f t="shared" si="12"/>
        <v>0.52998936170212774</v>
      </c>
      <c r="AZ18" s="10">
        <f t="shared" si="12"/>
        <v>0.52998936170212774</v>
      </c>
      <c r="BA18" s="10">
        <f t="shared" si="12"/>
        <v>0.52998936170212774</v>
      </c>
      <c r="BB18" s="10">
        <f t="shared" si="12"/>
        <v>0.52998936170212774</v>
      </c>
      <c r="BC18" s="10">
        <f t="shared" si="12"/>
        <v>0.52998936170212774</v>
      </c>
      <c r="BD18" s="10">
        <f t="shared" si="12"/>
        <v>0.52998936170212774</v>
      </c>
      <c r="BE18" s="10">
        <f t="shared" si="12"/>
        <v>0.52998936170212774</v>
      </c>
      <c r="BF18" s="10">
        <f t="shared" si="12"/>
        <v>0.52998936170212774</v>
      </c>
      <c r="BG18" s="10">
        <f t="shared" si="12"/>
        <v>0.52998936170212774</v>
      </c>
      <c r="BH18" s="10">
        <f t="shared" si="12"/>
        <v>0.52998936170212774</v>
      </c>
      <c r="BI18" s="10">
        <f t="shared" si="12"/>
        <v>0.52998936170212774</v>
      </c>
      <c r="BJ18" s="10">
        <f t="shared" si="12"/>
        <v>0.52998936170212774</v>
      </c>
      <c r="BK18" s="10">
        <f t="shared" si="12"/>
        <v>0.52998936170212774</v>
      </c>
      <c r="BL18" s="10">
        <f t="shared" si="12"/>
        <v>0.52998936170212774</v>
      </c>
      <c r="BM18" s="10">
        <f t="shared" si="12"/>
        <v>0.52998936170212774</v>
      </c>
      <c r="BN18" s="10">
        <f t="shared" si="12"/>
        <v>0.52998936170212774</v>
      </c>
      <c r="BO18" s="10">
        <f t="shared" ref="BO18:CG18" si="13">2*BO10*(BO5+BO11*BO6)/(SQRT(2)*BO9*SIN(PI()/2))</f>
        <v>0.52998936170212774</v>
      </c>
      <c r="BP18" s="10">
        <f t="shared" si="13"/>
        <v>0.52998936170212774</v>
      </c>
      <c r="BQ18" s="10">
        <f t="shared" si="13"/>
        <v>0.52998936170212774</v>
      </c>
      <c r="BR18" s="10">
        <f t="shared" si="13"/>
        <v>0.52998936170212774</v>
      </c>
      <c r="BS18" s="10">
        <f t="shared" si="13"/>
        <v>0.52998936170212774</v>
      </c>
      <c r="BT18" s="10">
        <f t="shared" si="13"/>
        <v>0.52998936170212774</v>
      </c>
      <c r="BU18" s="10">
        <f t="shared" si="13"/>
        <v>0.52998936170212774</v>
      </c>
      <c r="BV18" s="10">
        <f t="shared" si="13"/>
        <v>0.52998936170212774</v>
      </c>
      <c r="BW18" s="10">
        <f t="shared" si="13"/>
        <v>0.52998936170212774</v>
      </c>
      <c r="BX18" s="10">
        <f t="shared" si="13"/>
        <v>0.52998936170212774</v>
      </c>
      <c r="BY18" s="10">
        <f t="shared" si="13"/>
        <v>0.52998936170212774</v>
      </c>
      <c r="BZ18" s="10">
        <f t="shared" si="13"/>
        <v>0.52998936170212774</v>
      </c>
      <c r="CA18" s="10">
        <f t="shared" si="13"/>
        <v>0.52998936170212774</v>
      </c>
      <c r="CB18" s="10">
        <f t="shared" si="13"/>
        <v>0.52998936170212774</v>
      </c>
      <c r="CC18" s="10">
        <f t="shared" si="13"/>
        <v>0.52998936170212774</v>
      </c>
      <c r="CD18" s="10">
        <f t="shared" si="13"/>
        <v>0.52998936170212774</v>
      </c>
      <c r="CE18" s="10">
        <f t="shared" si="13"/>
        <v>0.52998936170212774</v>
      </c>
      <c r="CF18" s="10">
        <f t="shared" si="13"/>
        <v>0.52998936170212774</v>
      </c>
      <c r="CG18" s="10">
        <f t="shared" si="13"/>
        <v>0.52998936170212774</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0.45070422535211274</v>
      </c>
      <c r="D23" s="163">
        <f>'Res. Tank Design'!$D$50</f>
        <v>0.45070422535211274</v>
      </c>
      <c r="E23" s="163">
        <f>'Res. Tank Design'!$D$50</f>
        <v>0.45070422535211274</v>
      </c>
      <c r="F23" s="163">
        <f>'Res. Tank Design'!$D$50</f>
        <v>0.45070422535211274</v>
      </c>
      <c r="G23" s="163">
        <f>'Res. Tank Design'!$D$50</f>
        <v>0.45070422535211274</v>
      </c>
      <c r="H23" s="163">
        <f>'Res. Tank Design'!$D$50</f>
        <v>0.45070422535211274</v>
      </c>
      <c r="I23" s="163">
        <f>'Res. Tank Design'!$D$50</f>
        <v>0.45070422535211274</v>
      </c>
      <c r="J23" s="163">
        <f>'Res. Tank Design'!$D$50</f>
        <v>0.45070422535211274</v>
      </c>
      <c r="K23" s="163">
        <f>'Res. Tank Design'!$D$50</f>
        <v>0.45070422535211274</v>
      </c>
      <c r="L23" s="163">
        <f>'Res. Tank Design'!$D$50</f>
        <v>0.45070422535211274</v>
      </c>
      <c r="M23" s="163">
        <f>'Res. Tank Design'!$D$50</f>
        <v>0.45070422535211274</v>
      </c>
      <c r="N23" s="163">
        <f>'Res. Tank Design'!$D$50</f>
        <v>0.45070422535211274</v>
      </c>
      <c r="O23" s="163">
        <f>'Res. Tank Design'!$D$50</f>
        <v>0.45070422535211274</v>
      </c>
      <c r="P23" s="163">
        <f>'Res. Tank Design'!$D$50</f>
        <v>0.45070422535211274</v>
      </c>
      <c r="Q23" s="163">
        <f>'Res. Tank Design'!$D$50</f>
        <v>0.45070422535211274</v>
      </c>
      <c r="R23" s="163">
        <f>'Res. Tank Design'!$D$50</f>
        <v>0.45070422535211274</v>
      </c>
      <c r="S23" s="163">
        <f>'Res. Tank Design'!$D$50</f>
        <v>0.45070422535211274</v>
      </c>
      <c r="T23" s="163">
        <f>'Res. Tank Design'!$D$50</f>
        <v>0.45070422535211274</v>
      </c>
      <c r="U23" s="163">
        <f>'Res. Tank Design'!$D$50</f>
        <v>0.45070422535211274</v>
      </c>
      <c r="V23" s="163">
        <f>'Res. Tank Design'!$D$50</f>
        <v>0.45070422535211274</v>
      </c>
      <c r="W23" s="163">
        <f>'Res. Tank Design'!$D$50</f>
        <v>0.45070422535211274</v>
      </c>
      <c r="X23" s="163">
        <f>'Res. Tank Design'!$D$50</f>
        <v>0.45070422535211274</v>
      </c>
      <c r="Y23" s="163">
        <f>'Res. Tank Design'!$D$50</f>
        <v>0.45070422535211274</v>
      </c>
      <c r="Z23" s="163">
        <f>'Res. Tank Design'!$D$50</f>
        <v>0.45070422535211274</v>
      </c>
      <c r="AA23" s="163">
        <f>'Res. Tank Design'!$D$50</f>
        <v>0.45070422535211274</v>
      </c>
      <c r="AB23" s="163">
        <f>'Res. Tank Design'!$D$50</f>
        <v>0.45070422535211274</v>
      </c>
      <c r="AC23" s="163">
        <f>'Res. Tank Design'!$D$50</f>
        <v>0.45070422535211274</v>
      </c>
      <c r="AD23" s="163">
        <f>'Res. Tank Design'!$D$50</f>
        <v>0.45070422535211274</v>
      </c>
      <c r="AE23" s="163">
        <f>'Res. Tank Design'!$D$50</f>
        <v>0.45070422535211274</v>
      </c>
      <c r="AF23" s="163">
        <f>'Res. Tank Design'!$D$50</f>
        <v>0.45070422535211274</v>
      </c>
      <c r="AG23" s="163">
        <f>'Res. Tank Design'!$D$50</f>
        <v>0.45070422535211274</v>
      </c>
      <c r="AH23" s="163">
        <f>'Res. Tank Design'!$D$50</f>
        <v>0.45070422535211274</v>
      </c>
      <c r="AI23" s="163">
        <f>'Res. Tank Design'!$D$50</f>
        <v>0.45070422535211274</v>
      </c>
      <c r="AJ23" s="163">
        <f>'Res. Tank Design'!$D$50</f>
        <v>0.45070422535211274</v>
      </c>
      <c r="AK23" s="163">
        <f>'Res. Tank Design'!$D$50</f>
        <v>0.45070422535211274</v>
      </c>
      <c r="AL23" s="163">
        <f>'Res. Tank Design'!$D$50</f>
        <v>0.45070422535211274</v>
      </c>
      <c r="AM23" s="163">
        <f>'Res. Tank Design'!$D$50</f>
        <v>0.45070422535211274</v>
      </c>
      <c r="AN23" s="163">
        <f>'Res. Tank Design'!$D$50</f>
        <v>0.45070422535211274</v>
      </c>
      <c r="AO23" s="163">
        <f>'Res. Tank Design'!$D$50</f>
        <v>0.45070422535211274</v>
      </c>
      <c r="AP23" s="163">
        <f>'Res. Tank Design'!$D$50</f>
        <v>0.45070422535211274</v>
      </c>
      <c r="AQ23" s="163">
        <f>'Res. Tank Design'!$D$50</f>
        <v>0.45070422535211274</v>
      </c>
      <c r="AR23" s="163">
        <f>'Res. Tank Design'!$D$50</f>
        <v>0.45070422535211274</v>
      </c>
      <c r="AS23" s="163">
        <f>'Res. Tank Design'!$D$50</f>
        <v>0.45070422535211274</v>
      </c>
      <c r="AT23" s="163">
        <f>'Res. Tank Design'!$D$50</f>
        <v>0.45070422535211274</v>
      </c>
      <c r="AU23" s="163">
        <f>'Res. Tank Design'!$D$50</f>
        <v>0.45070422535211274</v>
      </c>
      <c r="AV23" s="163">
        <f>'Res. Tank Design'!$D$50</f>
        <v>0.45070422535211274</v>
      </c>
      <c r="AW23" s="163">
        <f>'Res. Tank Design'!$D$50</f>
        <v>0.45070422535211274</v>
      </c>
      <c r="AX23" s="163">
        <f>'Res. Tank Design'!$D$50</f>
        <v>0.45070422535211274</v>
      </c>
      <c r="AY23" s="163">
        <f>'Res. Tank Design'!$D$50</f>
        <v>0.45070422535211274</v>
      </c>
      <c r="AZ23" s="163">
        <f>'Res. Tank Design'!$D$50</f>
        <v>0.45070422535211274</v>
      </c>
      <c r="BA23" s="163">
        <f>'Res. Tank Design'!$D$50</f>
        <v>0.45070422535211274</v>
      </c>
      <c r="BB23" s="163">
        <f>'Res. Tank Design'!$D$50</f>
        <v>0.45070422535211274</v>
      </c>
      <c r="BC23" s="163">
        <f>'Res. Tank Design'!$D$50</f>
        <v>0.45070422535211274</v>
      </c>
      <c r="BD23" s="163">
        <f>'Res. Tank Design'!$D$50</f>
        <v>0.45070422535211274</v>
      </c>
      <c r="BE23" s="163">
        <f>'Res. Tank Design'!$D$50</f>
        <v>0.45070422535211274</v>
      </c>
      <c r="BF23" s="163">
        <f>'Res. Tank Design'!$D$50</f>
        <v>0.45070422535211274</v>
      </c>
      <c r="BG23" s="163">
        <f>'Res. Tank Design'!$D$50</f>
        <v>0.45070422535211274</v>
      </c>
      <c r="BH23" s="163">
        <f>'Res. Tank Design'!$D$50</f>
        <v>0.45070422535211274</v>
      </c>
      <c r="BI23" s="163">
        <f>'Res. Tank Design'!$D$50</f>
        <v>0.45070422535211274</v>
      </c>
      <c r="BJ23" s="163">
        <f>'Res. Tank Design'!$D$50</f>
        <v>0.45070422535211274</v>
      </c>
      <c r="BK23" s="163">
        <f>'Res. Tank Design'!$D$50</f>
        <v>0.45070422535211274</v>
      </c>
      <c r="BL23" s="163">
        <f>'Res. Tank Design'!$D$50</f>
        <v>0.45070422535211274</v>
      </c>
      <c r="BM23" s="163">
        <f>'Res. Tank Design'!$D$50</f>
        <v>0.45070422535211274</v>
      </c>
      <c r="BN23" s="163">
        <f>'Res. Tank Design'!$D$50</f>
        <v>0.45070422535211274</v>
      </c>
      <c r="BO23" s="163">
        <f>'Res. Tank Design'!$D$50</f>
        <v>0.45070422535211274</v>
      </c>
      <c r="BP23" s="163">
        <f>'Res. Tank Design'!$D$50</f>
        <v>0.45070422535211274</v>
      </c>
      <c r="BQ23" s="163">
        <f>'Res. Tank Design'!$D$50</f>
        <v>0.45070422535211274</v>
      </c>
      <c r="BR23" s="163">
        <f>'Res. Tank Design'!$D$50</f>
        <v>0.45070422535211274</v>
      </c>
      <c r="BS23" s="163">
        <f>'Res. Tank Design'!$D$50</f>
        <v>0.45070422535211274</v>
      </c>
      <c r="BT23" s="163">
        <f>'Res. Tank Design'!$D$50</f>
        <v>0.45070422535211274</v>
      </c>
      <c r="BU23" s="163">
        <f>'Res. Tank Design'!$D$50</f>
        <v>0.45070422535211274</v>
      </c>
      <c r="BV23" s="163">
        <f>'Res. Tank Design'!$D$50</f>
        <v>0.45070422535211274</v>
      </c>
      <c r="BW23" s="163">
        <f>'Res. Tank Design'!$D$50</f>
        <v>0.45070422535211274</v>
      </c>
      <c r="BX23" s="163">
        <f>'Res. Tank Design'!$D$50</f>
        <v>0.45070422535211274</v>
      </c>
      <c r="BY23" s="163">
        <f>'Res. Tank Design'!$D$50</f>
        <v>0.45070422535211274</v>
      </c>
      <c r="BZ23" s="163">
        <f>'Res. Tank Design'!$D$50</f>
        <v>0.45070422535211274</v>
      </c>
      <c r="CA23" s="163">
        <f>'Res. Tank Design'!$D$50</f>
        <v>0.45070422535211274</v>
      </c>
      <c r="CB23" s="163">
        <f>'Res. Tank Design'!$D$50</f>
        <v>0.45070422535211274</v>
      </c>
      <c r="CC23" s="163">
        <f>'Res. Tank Design'!$D$50</f>
        <v>0.45070422535211274</v>
      </c>
      <c r="CD23" s="163">
        <f>'Res. Tank Design'!$D$50</f>
        <v>0.45070422535211274</v>
      </c>
      <c r="CE23" s="163">
        <f>'Res. Tank Design'!$D$50</f>
        <v>0.45070422535211274</v>
      </c>
      <c r="CF23" s="163">
        <f>'Res. Tank Design'!$D$50</f>
        <v>0.45070422535211274</v>
      </c>
      <c r="CG23" s="163">
        <f>'Res. Tank Design'!$D$50</f>
        <v>0.45070422535211274</v>
      </c>
    </row>
    <row r="24" spans="2:85" ht="16.5" customHeight="1">
      <c r="B24" s="10" t="s">
        <v>787</v>
      </c>
      <c r="C24" s="10">
        <f>'Res. Tank Design'!$D$56/'Res. Tank Design'!$D$55</f>
        <v>0.55738641143329415</v>
      </c>
      <c r="D24" s="10">
        <f>'Res. Tank Design'!$D$56/'Res. Tank Design'!$D$55</f>
        <v>0.55738641143329415</v>
      </c>
      <c r="E24" s="10">
        <f>'Res. Tank Design'!$D$56/'Res. Tank Design'!$D$55</f>
        <v>0.55738641143329415</v>
      </c>
      <c r="F24" s="10">
        <f>'Res. Tank Design'!$D$56/'Res. Tank Design'!$D$55</f>
        <v>0.55738641143329415</v>
      </c>
      <c r="G24" s="10">
        <f>'Res. Tank Design'!$D$56/'Res. Tank Design'!$D$55</f>
        <v>0.55738641143329415</v>
      </c>
      <c r="H24" s="10">
        <f>'Res. Tank Design'!$D$56/'Res. Tank Design'!$D$55</f>
        <v>0.55738641143329415</v>
      </c>
      <c r="I24" s="10">
        <f>'Res. Tank Design'!$D$56/'Res. Tank Design'!$D$55</f>
        <v>0.55738641143329415</v>
      </c>
      <c r="J24" s="10">
        <f>'Res. Tank Design'!$D$56/'Res. Tank Design'!$D$55</f>
        <v>0.55738641143329415</v>
      </c>
      <c r="K24" s="10">
        <f>'Res. Tank Design'!$D$56/'Res. Tank Design'!$D$55</f>
        <v>0.55738641143329415</v>
      </c>
      <c r="L24" s="10">
        <f>'Res. Tank Design'!$D$56/'Res. Tank Design'!$D$55</f>
        <v>0.55738641143329415</v>
      </c>
      <c r="M24" s="10">
        <f>'Res. Tank Design'!$D$56/'Res. Tank Design'!$D$55</f>
        <v>0.55738641143329415</v>
      </c>
      <c r="N24" s="10">
        <f>'Res. Tank Design'!$D$56/'Res. Tank Design'!$D$55</f>
        <v>0.55738641143329415</v>
      </c>
      <c r="O24" s="10">
        <f>'Res. Tank Design'!$D$56/'Res. Tank Design'!$D$55</f>
        <v>0.55738641143329415</v>
      </c>
      <c r="P24" s="10">
        <f>'Res. Tank Design'!$D$56/'Res. Tank Design'!$D$55</f>
        <v>0.55738641143329415</v>
      </c>
      <c r="Q24" s="10">
        <f>'Res. Tank Design'!$D$56/'Res. Tank Design'!$D$55</f>
        <v>0.55738641143329415</v>
      </c>
      <c r="R24" s="10">
        <f>'Res. Tank Design'!$D$56/'Res. Tank Design'!$D$55</f>
        <v>0.55738641143329415</v>
      </c>
      <c r="S24" s="10">
        <f>'Res. Tank Design'!$D$56/'Res. Tank Design'!$D$55</f>
        <v>0.55738641143329415</v>
      </c>
      <c r="T24" s="10">
        <f>'Res. Tank Design'!$D$56/'Res. Tank Design'!$D$55</f>
        <v>0.55738641143329415</v>
      </c>
      <c r="U24" s="10">
        <f>'Res. Tank Design'!$D$56/'Res. Tank Design'!$D$55</f>
        <v>0.55738641143329415</v>
      </c>
      <c r="V24" s="10">
        <f>'Res. Tank Design'!$D$56/'Res. Tank Design'!$D$55</f>
        <v>0.55738641143329415</v>
      </c>
      <c r="W24" s="10">
        <f>'Res. Tank Design'!$D$56/'Res. Tank Design'!$D$55</f>
        <v>0.55738641143329415</v>
      </c>
      <c r="X24" s="10">
        <f>'Res. Tank Design'!$D$56/'Res. Tank Design'!$D$55</f>
        <v>0.55738641143329415</v>
      </c>
      <c r="Y24" s="10">
        <f>'Res. Tank Design'!$D$56/'Res. Tank Design'!$D$55</f>
        <v>0.55738641143329415</v>
      </c>
      <c r="Z24" s="10">
        <f>'Res. Tank Design'!$D$56/'Res. Tank Design'!$D$55</f>
        <v>0.55738641143329415</v>
      </c>
      <c r="AA24" s="10">
        <f>'Res. Tank Design'!$D$56/'Res. Tank Design'!$D$55</f>
        <v>0.55738641143329415</v>
      </c>
      <c r="AB24" s="10">
        <f>'Res. Tank Design'!$D$56/'Res. Tank Design'!$D$55</f>
        <v>0.55738641143329415</v>
      </c>
      <c r="AC24" s="10">
        <f>'Res. Tank Design'!$D$56/'Res. Tank Design'!$D$55</f>
        <v>0.55738641143329415</v>
      </c>
      <c r="AD24" s="10">
        <f>'Res. Tank Design'!$D$56/'Res. Tank Design'!$D$55</f>
        <v>0.55738641143329415</v>
      </c>
      <c r="AE24" s="10">
        <f>'Res. Tank Design'!$D$56/'Res. Tank Design'!$D$55</f>
        <v>0.55738641143329415</v>
      </c>
      <c r="AF24" s="10">
        <f>'Res. Tank Design'!$D$56/'Res. Tank Design'!$D$55</f>
        <v>0.55738641143329415</v>
      </c>
      <c r="AG24" s="10">
        <f>'Res. Tank Design'!$D$56/'Res. Tank Design'!$D$55</f>
        <v>0.55738641143329415</v>
      </c>
      <c r="AH24" s="10">
        <f>'Res. Tank Design'!$D$56/'Res. Tank Design'!$D$55</f>
        <v>0.55738641143329415</v>
      </c>
      <c r="AI24" s="10">
        <f>'Res. Tank Design'!$D$56/'Res. Tank Design'!$D$55</f>
        <v>0.55738641143329415</v>
      </c>
      <c r="AJ24" s="10">
        <f>'Res. Tank Design'!$D$56/'Res. Tank Design'!$D$55</f>
        <v>0.55738641143329415</v>
      </c>
      <c r="AK24" s="10">
        <f>'Res. Tank Design'!$D$56/'Res. Tank Design'!$D$55</f>
        <v>0.55738641143329415</v>
      </c>
      <c r="AL24" s="10">
        <f>'Res. Tank Design'!$D$56/'Res. Tank Design'!$D$55</f>
        <v>0.55738641143329415</v>
      </c>
      <c r="AM24" s="10">
        <f>'Res. Tank Design'!$D$56/'Res. Tank Design'!$D$55</f>
        <v>0.55738641143329415</v>
      </c>
      <c r="AN24" s="10">
        <f>'Res. Tank Design'!$D$56/'Res. Tank Design'!$D$55</f>
        <v>0.55738641143329415</v>
      </c>
      <c r="AO24" s="10">
        <f>'Res. Tank Design'!$D$56/'Res. Tank Design'!$D$55</f>
        <v>0.55738641143329415</v>
      </c>
      <c r="AP24" s="10">
        <f>'Res. Tank Design'!$D$56/'Res. Tank Design'!$D$55</f>
        <v>0.55738641143329415</v>
      </c>
      <c r="AQ24" s="10">
        <f>'Res. Tank Design'!$D$56/'Res. Tank Design'!$D$55</f>
        <v>0.55738641143329415</v>
      </c>
      <c r="AR24" s="10">
        <f>'Res. Tank Design'!$D$56/'Res. Tank Design'!$D$55</f>
        <v>0.55738641143329415</v>
      </c>
      <c r="AS24" s="10">
        <f>'Res. Tank Design'!$D$56/'Res. Tank Design'!$D$55</f>
        <v>0.55738641143329415</v>
      </c>
      <c r="AT24" s="10">
        <f>'Res. Tank Design'!$D$56/'Res. Tank Design'!$D$55</f>
        <v>0.55738641143329415</v>
      </c>
      <c r="AU24" s="10">
        <f>'Res. Tank Design'!$D$56/'Res. Tank Design'!$D$55</f>
        <v>0.55738641143329415</v>
      </c>
      <c r="AV24" s="10">
        <f>'Res. Tank Design'!$D$56/'Res. Tank Design'!$D$55</f>
        <v>0.55738641143329415</v>
      </c>
      <c r="AW24" s="10">
        <f>'Res. Tank Design'!$D$56/'Res. Tank Design'!$D$55</f>
        <v>0.55738641143329415</v>
      </c>
      <c r="AX24" s="10">
        <f>'Res. Tank Design'!$D$56/'Res. Tank Design'!$D$55</f>
        <v>0.55738641143329415</v>
      </c>
      <c r="AY24" s="10">
        <f>'Res. Tank Design'!$D$56/'Res. Tank Design'!$D$55</f>
        <v>0.55738641143329415</v>
      </c>
      <c r="AZ24" s="10">
        <f>'Res. Tank Design'!$D$56/'Res. Tank Design'!$D$55</f>
        <v>0.55738641143329415</v>
      </c>
      <c r="BA24" s="10">
        <f>'Res. Tank Design'!$D$56/'Res. Tank Design'!$D$55</f>
        <v>0.55738641143329415</v>
      </c>
      <c r="BB24" s="10">
        <f>'Res. Tank Design'!$D$56/'Res. Tank Design'!$D$55</f>
        <v>0.55738641143329415</v>
      </c>
      <c r="BC24" s="10">
        <f>'Res. Tank Design'!$D$56/'Res. Tank Design'!$D$55</f>
        <v>0.55738641143329415</v>
      </c>
      <c r="BD24" s="10">
        <f>'Res. Tank Design'!$D$56/'Res. Tank Design'!$D$55</f>
        <v>0.55738641143329415</v>
      </c>
      <c r="BE24" s="10">
        <f>'Res. Tank Design'!$D$56/'Res. Tank Design'!$D$55</f>
        <v>0.55738641143329415</v>
      </c>
      <c r="BF24" s="10">
        <f>'Res. Tank Design'!$D$56/'Res. Tank Design'!$D$55</f>
        <v>0.55738641143329415</v>
      </c>
      <c r="BG24" s="10">
        <f>'Res. Tank Design'!$D$56/'Res. Tank Design'!$D$55</f>
        <v>0.55738641143329415</v>
      </c>
      <c r="BH24" s="10">
        <f>'Res. Tank Design'!$D$56/'Res. Tank Design'!$D$55</f>
        <v>0.55738641143329415</v>
      </c>
      <c r="BI24" s="10">
        <f>'Res. Tank Design'!$D$56/'Res. Tank Design'!$D$55</f>
        <v>0.55738641143329415</v>
      </c>
      <c r="BJ24" s="10">
        <f>'Res. Tank Design'!$D$56/'Res. Tank Design'!$D$55</f>
        <v>0.55738641143329415</v>
      </c>
      <c r="BK24" s="10">
        <f>'Res. Tank Design'!$D$56/'Res. Tank Design'!$D$55</f>
        <v>0.55738641143329415</v>
      </c>
      <c r="BL24" s="10">
        <f>'Res. Tank Design'!$D$56/'Res. Tank Design'!$D$55</f>
        <v>0.55738641143329415</v>
      </c>
      <c r="BM24" s="10">
        <f>'Res. Tank Design'!$D$56/'Res. Tank Design'!$D$55</f>
        <v>0.55738641143329415</v>
      </c>
      <c r="BN24" s="10">
        <f>'Res. Tank Design'!$D$56/'Res. Tank Design'!$D$55</f>
        <v>0.55738641143329415</v>
      </c>
      <c r="BO24" s="10">
        <f>'Res. Tank Design'!$D$56/'Res. Tank Design'!$D$55</f>
        <v>0.55738641143329415</v>
      </c>
      <c r="BP24" s="10">
        <f>'Res. Tank Design'!$D$56/'Res. Tank Design'!$D$55</f>
        <v>0.55738641143329415</v>
      </c>
      <c r="BQ24" s="10">
        <f>'Res. Tank Design'!$D$56/'Res. Tank Design'!$D$55</f>
        <v>0.55738641143329415</v>
      </c>
      <c r="BR24" s="10">
        <f>'Res. Tank Design'!$D$56/'Res. Tank Design'!$D$55</f>
        <v>0.55738641143329415</v>
      </c>
      <c r="BS24" s="10">
        <f>'Res. Tank Design'!$D$56/'Res. Tank Design'!$D$55</f>
        <v>0.55738641143329415</v>
      </c>
      <c r="BT24" s="10">
        <f>'Res. Tank Design'!$D$56/'Res. Tank Design'!$D$55</f>
        <v>0.55738641143329415</v>
      </c>
      <c r="BU24" s="10">
        <f>'Res. Tank Design'!$D$56/'Res. Tank Design'!$D$55</f>
        <v>0.55738641143329415</v>
      </c>
      <c r="BV24" s="10">
        <f>'Res. Tank Design'!$D$56/'Res. Tank Design'!$D$55</f>
        <v>0.55738641143329415</v>
      </c>
      <c r="BW24" s="10">
        <f>'Res. Tank Design'!$D$56/'Res. Tank Design'!$D$55</f>
        <v>0.55738641143329415</v>
      </c>
      <c r="BX24" s="10">
        <f>'Res. Tank Design'!$D$56/'Res. Tank Design'!$D$55</f>
        <v>0.55738641143329415</v>
      </c>
      <c r="BY24" s="10">
        <f>'Res. Tank Design'!$D$56/'Res. Tank Design'!$D$55</f>
        <v>0.55738641143329415</v>
      </c>
      <c r="BZ24" s="10">
        <f>'Res. Tank Design'!$D$56/'Res. Tank Design'!$D$55</f>
        <v>0.55738641143329415</v>
      </c>
      <c r="CA24" s="10">
        <f>'Res. Tank Design'!$D$56/'Res. Tank Design'!$D$55</f>
        <v>0.55738641143329415</v>
      </c>
      <c r="CB24" s="10">
        <f>'Res. Tank Design'!$D$56/'Res. Tank Design'!$D$55</f>
        <v>0.55738641143329415</v>
      </c>
      <c r="CC24" s="10">
        <f>'Res. Tank Design'!$D$56/'Res. Tank Design'!$D$55</f>
        <v>0.55738641143329415</v>
      </c>
      <c r="CD24" s="10">
        <f>'Res. Tank Design'!$D$56/'Res. Tank Design'!$D$55</f>
        <v>0.55738641143329415</v>
      </c>
      <c r="CE24" s="10">
        <f>'Res. Tank Design'!$D$56/'Res. Tank Design'!$D$55</f>
        <v>0.55738641143329415</v>
      </c>
      <c r="CF24" s="10">
        <f>'Res. Tank Design'!$D$56/'Res. Tank Design'!$D$55</f>
        <v>0.55738641143329415</v>
      </c>
      <c r="CG24" s="10">
        <f>'Res. Tank Design'!$D$56/'Res. Tank Design'!$D$55</f>
        <v>0.55738641143329415</v>
      </c>
    </row>
    <row r="25" spans="2:85" ht="16.5" customHeight="1">
      <c r="B25" s="10" t="s">
        <v>788</v>
      </c>
      <c r="C25" s="10">
        <v>1E-4</v>
      </c>
      <c r="D25" s="10">
        <f t="shared" ref="D25:AI25" si="18">IF(OR(E25&lt;=D24,E25-1/69&gt;D24),E25-1/69,D24-0.0001)</f>
        <v>2.1054527375323075E-2</v>
      </c>
      <c r="E25" s="10">
        <f t="shared" si="18"/>
        <v>3.5547280998511482E-2</v>
      </c>
      <c r="F25" s="10">
        <f t="shared" si="18"/>
        <v>5.004003462169989E-2</v>
      </c>
      <c r="G25" s="10">
        <f t="shared" si="18"/>
        <v>6.4532788244888298E-2</v>
      </c>
      <c r="H25" s="10">
        <f t="shared" si="18"/>
        <v>7.9025541868076699E-2</v>
      </c>
      <c r="I25" s="10">
        <f t="shared" si="18"/>
        <v>9.3518295491265099E-2</v>
      </c>
      <c r="J25" s="10">
        <f t="shared" si="18"/>
        <v>0.1080110491144535</v>
      </c>
      <c r="K25" s="10">
        <f t="shared" si="18"/>
        <v>0.1225038027376419</v>
      </c>
      <c r="L25" s="10">
        <f t="shared" si="18"/>
        <v>0.1369965563608303</v>
      </c>
      <c r="M25" s="10">
        <f t="shared" si="18"/>
        <v>0.15148930998401872</v>
      </c>
      <c r="N25" s="10">
        <f t="shared" si="18"/>
        <v>0.16598206360720713</v>
      </c>
      <c r="O25" s="10">
        <f t="shared" si="18"/>
        <v>0.18047481723039555</v>
      </c>
      <c r="P25" s="10">
        <f t="shared" si="18"/>
        <v>0.19496757085358396</v>
      </c>
      <c r="Q25" s="10">
        <f t="shared" si="18"/>
        <v>0.20946032447677237</v>
      </c>
      <c r="R25" s="10">
        <f t="shared" si="18"/>
        <v>0.22395307809996079</v>
      </c>
      <c r="S25" s="10">
        <f t="shared" si="18"/>
        <v>0.2384458317231492</v>
      </c>
      <c r="T25" s="10">
        <f t="shared" si="18"/>
        <v>0.25293858534633762</v>
      </c>
      <c r="U25" s="10">
        <f t="shared" si="18"/>
        <v>0.26743133896952603</v>
      </c>
      <c r="V25" s="10">
        <f t="shared" si="18"/>
        <v>0.28192409259271445</v>
      </c>
      <c r="W25" s="10">
        <f t="shared" si="18"/>
        <v>0.29641684621590286</v>
      </c>
      <c r="X25" s="10">
        <f t="shared" si="18"/>
        <v>0.31090959983909128</v>
      </c>
      <c r="Y25" s="10">
        <f t="shared" si="18"/>
        <v>0.32540235346227969</v>
      </c>
      <c r="Z25" s="10">
        <f t="shared" si="18"/>
        <v>0.33989510708546811</v>
      </c>
      <c r="AA25" s="10">
        <f t="shared" si="18"/>
        <v>0.35438786070865652</v>
      </c>
      <c r="AB25" s="10">
        <f t="shared" si="18"/>
        <v>0.36888061433184494</v>
      </c>
      <c r="AC25" s="10">
        <f t="shared" si="18"/>
        <v>0.38337336795503335</v>
      </c>
      <c r="AD25" s="10">
        <f t="shared" si="18"/>
        <v>0.39786612157822177</v>
      </c>
      <c r="AE25" s="10">
        <f t="shared" si="18"/>
        <v>0.41235887520141018</v>
      </c>
      <c r="AF25" s="10">
        <f t="shared" si="18"/>
        <v>0.42685162882459859</v>
      </c>
      <c r="AG25" s="10">
        <f t="shared" si="18"/>
        <v>0.44134438244778701</v>
      </c>
      <c r="AH25" s="10">
        <f t="shared" si="18"/>
        <v>0.45583713607097542</v>
      </c>
      <c r="AI25" s="10">
        <f t="shared" si="18"/>
        <v>0.47032988969416384</v>
      </c>
      <c r="AJ25" s="10">
        <f t="shared" ref="AJ25:BO25" si="19">IF(OR(AK25&lt;=AJ24,AK25-1/69&gt;AJ24),AK25-1/69,AJ24-0.0001)</f>
        <v>0.48482264331735225</v>
      </c>
      <c r="AK25" s="10">
        <f t="shared" si="19"/>
        <v>0.49931539694054067</v>
      </c>
      <c r="AL25" s="10">
        <f t="shared" si="19"/>
        <v>0.51380815056372908</v>
      </c>
      <c r="AM25" s="10">
        <f t="shared" si="19"/>
        <v>0.52830090418691744</v>
      </c>
      <c r="AN25" s="10">
        <f t="shared" si="19"/>
        <v>0.5427936578101058</v>
      </c>
      <c r="AO25" s="10">
        <f t="shared" si="19"/>
        <v>0.55728641143329416</v>
      </c>
      <c r="AP25" s="10">
        <f t="shared" si="19"/>
        <v>0.56521739130434923</v>
      </c>
      <c r="AQ25" s="10">
        <f t="shared" si="19"/>
        <v>0.57971014492753759</v>
      </c>
      <c r="AR25" s="10">
        <f t="shared" si="19"/>
        <v>0.59420289855072594</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1.1848733995925445</v>
      </c>
      <c r="BV25" s="10">
        <f t="shared" si="21"/>
        <v>1.3697467991850889</v>
      </c>
      <c r="BW25" s="10">
        <f t="shared" si="21"/>
        <v>1.5546201987776334</v>
      </c>
      <c r="BX25" s="10">
        <f t="shared" si="21"/>
        <v>1.7394935983701778</v>
      </c>
      <c r="BY25" s="10">
        <f t="shared" si="21"/>
        <v>1.924366997962722</v>
      </c>
      <c r="BZ25" s="10">
        <f t="shared" si="21"/>
        <v>2.1092403975552667</v>
      </c>
      <c r="CA25" s="10">
        <f t="shared" si="21"/>
        <v>2.2941137971478112</v>
      </c>
      <c r="CB25" s="10">
        <f t="shared" si="21"/>
        <v>2.4789871967403556</v>
      </c>
      <c r="CC25" s="10">
        <f t="shared" si="21"/>
        <v>2.6638605963328996</v>
      </c>
      <c r="CD25" s="10">
        <f t="shared" si="21"/>
        <v>2.8487339959254441</v>
      </c>
      <c r="CE25" s="10">
        <f t="shared" si="21"/>
        <v>3.0336073955179885</v>
      </c>
      <c r="CF25" s="10">
        <f t="shared" si="21"/>
        <v>3.218480795110533</v>
      </c>
      <c r="CG25" s="10">
        <f>1.5*$CG$26</f>
        <v>3.4033541947030774</v>
      </c>
    </row>
    <row r="26" spans="2:85" ht="16.5" customHeight="1">
      <c r="B26" s="10" t="s">
        <v>1178</v>
      </c>
      <c r="C26" s="10">
        <f t="shared" ref="C26:AH26" si="22">IF(1+C23-1/C18&gt;0,SQRT(C23/(1+C23-1/C18)),$CG$26)</f>
        <v>2.2689027964687183</v>
      </c>
      <c r="D26" s="10">
        <f t="shared" si="22"/>
        <v>2.2689027964687183</v>
      </c>
      <c r="E26" s="10">
        <f t="shared" si="22"/>
        <v>2.2689027964687183</v>
      </c>
      <c r="F26" s="10">
        <f t="shared" si="22"/>
        <v>2.2689027964687183</v>
      </c>
      <c r="G26" s="10">
        <f t="shared" si="22"/>
        <v>2.2689027964687183</v>
      </c>
      <c r="H26" s="10">
        <f t="shared" si="22"/>
        <v>2.2689027964687183</v>
      </c>
      <c r="I26" s="10">
        <f t="shared" si="22"/>
        <v>2.2689027964687183</v>
      </c>
      <c r="J26" s="10">
        <f t="shared" si="22"/>
        <v>2.2689027964687183</v>
      </c>
      <c r="K26" s="10">
        <f t="shared" si="22"/>
        <v>2.2689027964687183</v>
      </c>
      <c r="L26" s="10">
        <f t="shared" si="22"/>
        <v>2.2689027964687183</v>
      </c>
      <c r="M26" s="10">
        <f t="shared" si="22"/>
        <v>2.2689027964687183</v>
      </c>
      <c r="N26" s="10">
        <f t="shared" si="22"/>
        <v>2.2689027964687183</v>
      </c>
      <c r="O26" s="10">
        <f t="shared" si="22"/>
        <v>2.2689027964687183</v>
      </c>
      <c r="P26" s="10">
        <f t="shared" si="22"/>
        <v>2.2689027964687183</v>
      </c>
      <c r="Q26" s="10">
        <f t="shared" si="22"/>
        <v>2.2689027964687183</v>
      </c>
      <c r="R26" s="10">
        <f t="shared" si="22"/>
        <v>2.2689027964687183</v>
      </c>
      <c r="S26" s="10">
        <f t="shared" si="22"/>
        <v>2.2689027964687183</v>
      </c>
      <c r="T26" s="10">
        <f t="shared" si="22"/>
        <v>2.2689027964687183</v>
      </c>
      <c r="U26" s="10">
        <f t="shared" si="22"/>
        <v>2.2689027964687183</v>
      </c>
      <c r="V26" s="10">
        <f t="shared" si="22"/>
        <v>2.2689027964687183</v>
      </c>
      <c r="W26" s="10">
        <f t="shared" si="22"/>
        <v>2.2689027964687183</v>
      </c>
      <c r="X26" s="10">
        <f t="shared" si="22"/>
        <v>2.2689027964687183</v>
      </c>
      <c r="Y26" s="10">
        <f t="shared" si="22"/>
        <v>2.2689027964687183</v>
      </c>
      <c r="Z26" s="10">
        <f t="shared" si="22"/>
        <v>2.2689027964687183</v>
      </c>
      <c r="AA26" s="10">
        <f t="shared" si="22"/>
        <v>2.2689027964687183</v>
      </c>
      <c r="AB26" s="10">
        <f t="shared" si="22"/>
        <v>2.2689027964687183</v>
      </c>
      <c r="AC26" s="10">
        <f t="shared" si="22"/>
        <v>2.2689027964687183</v>
      </c>
      <c r="AD26" s="10">
        <f t="shared" si="22"/>
        <v>2.2689027964687183</v>
      </c>
      <c r="AE26" s="10">
        <f t="shared" si="22"/>
        <v>2.2689027964687183</v>
      </c>
      <c r="AF26" s="10">
        <f t="shared" si="22"/>
        <v>2.2689027964687183</v>
      </c>
      <c r="AG26" s="10">
        <f t="shared" si="22"/>
        <v>2.2689027964687183</v>
      </c>
      <c r="AH26" s="10">
        <f t="shared" si="22"/>
        <v>2.2689027964687183</v>
      </c>
      <c r="AI26" s="10">
        <f t="shared" ref="AI26:BN26" si="23">IF(1+AI23-1/AI18&gt;0,SQRT(AI23/(1+AI23-1/AI18)),$CG$26)</f>
        <v>2.2689027964687183</v>
      </c>
      <c r="AJ26" s="10">
        <f t="shared" si="23"/>
        <v>2.2689027964687183</v>
      </c>
      <c r="AK26" s="10">
        <f t="shared" si="23"/>
        <v>2.2689027964687183</v>
      </c>
      <c r="AL26" s="10">
        <f t="shared" si="23"/>
        <v>2.2689027964687183</v>
      </c>
      <c r="AM26" s="10">
        <f t="shared" si="23"/>
        <v>2.2689027964687183</v>
      </c>
      <c r="AN26" s="10">
        <f t="shared" si="23"/>
        <v>2.2689027964687183</v>
      </c>
      <c r="AO26" s="10">
        <f t="shared" si="23"/>
        <v>2.2689027964687183</v>
      </c>
      <c r="AP26" s="10">
        <f t="shared" si="23"/>
        <v>2.2689027964687183</v>
      </c>
      <c r="AQ26" s="10">
        <f t="shared" si="23"/>
        <v>2.2689027964687183</v>
      </c>
      <c r="AR26" s="10">
        <f t="shared" si="23"/>
        <v>2.2689027964687183</v>
      </c>
      <c r="AS26" s="10">
        <f t="shared" si="23"/>
        <v>2.2689027964687183</v>
      </c>
      <c r="AT26" s="10">
        <f t="shared" si="23"/>
        <v>2.2689027964687183</v>
      </c>
      <c r="AU26" s="10">
        <f t="shared" si="23"/>
        <v>2.2689027964687183</v>
      </c>
      <c r="AV26" s="10">
        <f t="shared" si="23"/>
        <v>2.2689027964687183</v>
      </c>
      <c r="AW26" s="10">
        <f t="shared" si="23"/>
        <v>2.2689027964687183</v>
      </c>
      <c r="AX26" s="10">
        <f t="shared" si="23"/>
        <v>2.2689027964687183</v>
      </c>
      <c r="AY26" s="10">
        <f t="shared" si="23"/>
        <v>2.2689027964687183</v>
      </c>
      <c r="AZ26" s="10">
        <f t="shared" si="23"/>
        <v>2.2689027964687183</v>
      </c>
      <c r="BA26" s="10">
        <f t="shared" si="23"/>
        <v>2.2689027964687183</v>
      </c>
      <c r="BB26" s="10">
        <f t="shared" si="23"/>
        <v>2.2689027964687183</v>
      </c>
      <c r="BC26" s="10">
        <f t="shared" si="23"/>
        <v>2.2689027964687183</v>
      </c>
      <c r="BD26" s="10">
        <f t="shared" si="23"/>
        <v>2.2689027964687183</v>
      </c>
      <c r="BE26" s="10">
        <f t="shared" si="23"/>
        <v>2.2689027964687183</v>
      </c>
      <c r="BF26" s="10">
        <f t="shared" si="23"/>
        <v>2.2689027964687183</v>
      </c>
      <c r="BG26" s="10">
        <f t="shared" si="23"/>
        <v>2.2689027964687183</v>
      </c>
      <c r="BH26" s="10">
        <f t="shared" si="23"/>
        <v>2.2689027964687183</v>
      </c>
      <c r="BI26" s="10">
        <f t="shared" si="23"/>
        <v>2.2689027964687183</v>
      </c>
      <c r="BJ26" s="10">
        <f t="shared" si="23"/>
        <v>2.2689027964687183</v>
      </c>
      <c r="BK26" s="10">
        <f t="shared" si="23"/>
        <v>2.2689027964687183</v>
      </c>
      <c r="BL26" s="10">
        <f t="shared" si="23"/>
        <v>2.2689027964687183</v>
      </c>
      <c r="BM26" s="10">
        <f t="shared" si="23"/>
        <v>2.2689027964687183</v>
      </c>
      <c r="BN26" s="10">
        <f t="shared" si="23"/>
        <v>2.2689027964687183</v>
      </c>
      <c r="BO26" s="10">
        <f t="shared" ref="BO26:CF26" si="24">IF(1+BO23-1/BO18&gt;0,SQRT(BO23/(1+BO23-1/BO18)),$CG$26)</f>
        <v>2.2689027964687183</v>
      </c>
      <c r="BP26" s="10">
        <f t="shared" si="24"/>
        <v>2.2689027964687183</v>
      </c>
      <c r="BQ26" s="10">
        <f t="shared" si="24"/>
        <v>2.2689027964687183</v>
      </c>
      <c r="BR26" s="10">
        <f t="shared" si="24"/>
        <v>2.2689027964687183</v>
      </c>
      <c r="BS26" s="10">
        <f t="shared" si="24"/>
        <v>2.2689027964687183</v>
      </c>
      <c r="BT26" s="10">
        <f t="shared" si="24"/>
        <v>2.2689027964687183</v>
      </c>
      <c r="BU26" s="10">
        <f t="shared" si="24"/>
        <v>2.2689027964687183</v>
      </c>
      <c r="BV26" s="10">
        <f t="shared" si="24"/>
        <v>2.2689027964687183</v>
      </c>
      <c r="BW26" s="10">
        <f t="shared" si="24"/>
        <v>2.2689027964687183</v>
      </c>
      <c r="BX26" s="10">
        <f t="shared" si="24"/>
        <v>2.2689027964687183</v>
      </c>
      <c r="BY26" s="10">
        <f t="shared" si="24"/>
        <v>2.2689027964687183</v>
      </c>
      <c r="BZ26" s="10">
        <f t="shared" si="24"/>
        <v>2.2689027964687183</v>
      </c>
      <c r="CA26" s="10">
        <f t="shared" si="24"/>
        <v>2.2689027964687183</v>
      </c>
      <c r="CB26" s="10">
        <f t="shared" si="24"/>
        <v>2.2689027964687183</v>
      </c>
      <c r="CC26" s="10">
        <f t="shared" si="24"/>
        <v>2.2689027964687183</v>
      </c>
      <c r="CD26" s="10">
        <f t="shared" si="24"/>
        <v>2.2689027964687183</v>
      </c>
      <c r="CE26" s="10">
        <f t="shared" si="24"/>
        <v>2.2689027964687183</v>
      </c>
      <c r="CF26" s="10">
        <f t="shared" si="24"/>
        <v>2.2689027964687183</v>
      </c>
      <c r="CG26" s="10">
        <f>MAX(IF(1+$C$23-1/$C$18&gt;0,SQRT($C$23/(1+$C$23-1/$C$18)),0),(SQRT(MAX(0,1/$C$18^2-(1+$C$23)^2))/$C$41+SQRT(SQRT(MAX(0,1/$C$18^2-(1+$C$23)^2))/$C$41^2+4))/2,'Design Spec'!$D$43/'Res. Tank Design'!$D$55)</f>
        <v>2.2689027964687183</v>
      </c>
    </row>
    <row r="27" spans="2:85" ht="16.5" customHeight="1">
      <c r="B27" s="10" t="s">
        <v>789</v>
      </c>
      <c r="C27" s="10">
        <f>C26*'Res. Tank Design'!$D$55</f>
        <v>336.44167191269179</v>
      </c>
      <c r="D27" s="10">
        <f>D26*'Res. Tank Design'!$D$55</f>
        <v>336.44167191269179</v>
      </c>
      <c r="E27" s="10">
        <f>E26*'Res. Tank Design'!$D$55</f>
        <v>336.44167191269179</v>
      </c>
      <c r="F27" s="10">
        <f>F26*'Res. Tank Design'!$D$55</f>
        <v>336.44167191269179</v>
      </c>
      <c r="G27" s="10">
        <f>G26*'Res. Tank Design'!$D$55</f>
        <v>336.44167191269179</v>
      </c>
      <c r="H27" s="10">
        <f>H26*'Res. Tank Design'!$D$55</f>
        <v>336.44167191269179</v>
      </c>
      <c r="I27" s="10">
        <f>I26*'Res. Tank Design'!$D$55</f>
        <v>336.44167191269179</v>
      </c>
      <c r="J27" s="10">
        <f>J26*'Res. Tank Design'!$D$55</f>
        <v>336.44167191269179</v>
      </c>
      <c r="K27" s="10">
        <f>K26*'Res. Tank Design'!$D$55</f>
        <v>336.44167191269179</v>
      </c>
      <c r="L27" s="10">
        <f>L26*'Res. Tank Design'!$D$55</f>
        <v>336.44167191269179</v>
      </c>
      <c r="M27" s="10">
        <f>M26*'Res. Tank Design'!$D$55</f>
        <v>336.44167191269179</v>
      </c>
      <c r="N27" s="10">
        <f>N26*'Res. Tank Design'!$D$55</f>
        <v>336.44167191269179</v>
      </c>
      <c r="O27" s="10">
        <f>O26*'Res. Tank Design'!$D$55</f>
        <v>336.44167191269179</v>
      </c>
      <c r="P27" s="10">
        <f>P26*'Res. Tank Design'!$D$55</f>
        <v>336.44167191269179</v>
      </c>
      <c r="Q27" s="10">
        <f>Q26*'Res. Tank Design'!$D$55</f>
        <v>336.44167191269179</v>
      </c>
      <c r="R27" s="10">
        <f>R26*'Res. Tank Design'!$D$55</f>
        <v>336.44167191269179</v>
      </c>
      <c r="S27" s="10">
        <f>S26*'Res. Tank Design'!$D$55</f>
        <v>336.44167191269179</v>
      </c>
      <c r="T27" s="10">
        <f>T26*'Res. Tank Design'!$D$55</f>
        <v>336.44167191269179</v>
      </c>
      <c r="U27" s="10">
        <f>U26*'Res. Tank Design'!$D$55</f>
        <v>336.44167191269179</v>
      </c>
      <c r="V27" s="10">
        <f>V26*'Res. Tank Design'!$D$55</f>
        <v>336.44167191269179</v>
      </c>
      <c r="W27" s="10">
        <f>W26*'Res. Tank Design'!$D$55</f>
        <v>336.44167191269179</v>
      </c>
      <c r="X27" s="10">
        <f>X26*'Res. Tank Design'!$D$55</f>
        <v>336.44167191269179</v>
      </c>
      <c r="Y27" s="10">
        <f>Y26*'Res. Tank Design'!$D$55</f>
        <v>336.44167191269179</v>
      </c>
      <c r="Z27" s="10">
        <f>Z26*'Res. Tank Design'!$D$55</f>
        <v>336.44167191269179</v>
      </c>
      <c r="AA27" s="10">
        <f>AA26*'Res. Tank Design'!$D$55</f>
        <v>336.44167191269179</v>
      </c>
      <c r="AB27" s="10">
        <f>AB26*'Res. Tank Design'!$D$55</f>
        <v>336.44167191269179</v>
      </c>
      <c r="AC27" s="10">
        <f>AC26*'Res. Tank Design'!$D$55</f>
        <v>336.44167191269179</v>
      </c>
      <c r="AD27" s="10">
        <f>AD26*'Res. Tank Design'!$D$55</f>
        <v>336.44167191269179</v>
      </c>
      <c r="AE27" s="10">
        <f>AE26*'Res. Tank Design'!$D$55</f>
        <v>336.44167191269179</v>
      </c>
      <c r="AF27" s="10">
        <f>AF26*'Res. Tank Design'!$D$55</f>
        <v>336.44167191269179</v>
      </c>
      <c r="AG27" s="10">
        <f>AG26*'Res. Tank Design'!$D$55</f>
        <v>336.44167191269179</v>
      </c>
      <c r="AH27" s="10">
        <f>AH26*'Res. Tank Design'!$D$55</f>
        <v>336.44167191269179</v>
      </c>
      <c r="AI27" s="10">
        <f>AI26*'Res. Tank Design'!$D$55</f>
        <v>336.44167191269179</v>
      </c>
      <c r="AJ27" s="10">
        <f>AJ26*'Res. Tank Design'!$D$55</f>
        <v>336.44167191269179</v>
      </c>
      <c r="AK27" s="10">
        <f>AK26*'Res. Tank Design'!$D$55</f>
        <v>336.44167191269179</v>
      </c>
      <c r="AL27" s="10">
        <f>AL26*'Res. Tank Design'!$D$55</f>
        <v>336.44167191269179</v>
      </c>
      <c r="AM27" s="10">
        <f>AM26*'Res. Tank Design'!$D$55</f>
        <v>336.44167191269179</v>
      </c>
      <c r="AN27" s="10">
        <f>AN26*'Res. Tank Design'!$D$55</f>
        <v>336.44167191269179</v>
      </c>
      <c r="AO27" s="10">
        <f>AO26*'Res. Tank Design'!$D$55</f>
        <v>336.44167191269179</v>
      </c>
      <c r="AP27" s="10">
        <f>AP26*'Res. Tank Design'!$D$55</f>
        <v>336.44167191269179</v>
      </c>
      <c r="AQ27" s="10">
        <f>AQ26*'Res. Tank Design'!$D$55</f>
        <v>336.44167191269179</v>
      </c>
      <c r="AR27" s="10">
        <f>AR26*'Res. Tank Design'!$D$55</f>
        <v>336.44167191269179</v>
      </c>
      <c r="AS27" s="10">
        <f>AS26*'Res. Tank Design'!$D$55</f>
        <v>336.44167191269179</v>
      </c>
      <c r="AT27" s="10">
        <f>AT26*'Res. Tank Design'!$D$55</f>
        <v>336.44167191269179</v>
      </c>
      <c r="AU27" s="10">
        <f>AU26*'Res. Tank Design'!$D$55</f>
        <v>336.44167191269179</v>
      </c>
      <c r="AV27" s="10">
        <f>AV26*'Res. Tank Design'!$D$55</f>
        <v>336.44167191269179</v>
      </c>
      <c r="AW27" s="10">
        <f>AW26*'Res. Tank Design'!$D$55</f>
        <v>336.44167191269179</v>
      </c>
      <c r="AX27" s="10">
        <f>AX26*'Res. Tank Design'!$D$55</f>
        <v>336.44167191269179</v>
      </c>
      <c r="AY27" s="10">
        <f>AY26*'Res. Tank Design'!$D$55</f>
        <v>336.44167191269179</v>
      </c>
      <c r="AZ27" s="10">
        <f>AZ26*'Res. Tank Design'!$D$55</f>
        <v>336.44167191269179</v>
      </c>
      <c r="BA27" s="10">
        <f>BA26*'Res. Tank Design'!$D$55</f>
        <v>336.44167191269179</v>
      </c>
      <c r="BB27" s="10">
        <f>BB26*'Res. Tank Design'!$D$55</f>
        <v>336.44167191269179</v>
      </c>
      <c r="BC27" s="10">
        <f>BC26*'Res. Tank Design'!$D$55</f>
        <v>336.44167191269179</v>
      </c>
      <c r="BD27" s="10">
        <f>BD26*'Res. Tank Design'!$D$55</f>
        <v>336.44167191269179</v>
      </c>
      <c r="BE27" s="10">
        <f>BE26*'Res. Tank Design'!$D$55</f>
        <v>336.44167191269179</v>
      </c>
      <c r="BF27" s="10">
        <f>BF26*'Res. Tank Design'!$D$55</f>
        <v>336.44167191269179</v>
      </c>
      <c r="BG27" s="10">
        <f>BG26*'Res. Tank Design'!$D$55</f>
        <v>336.44167191269179</v>
      </c>
      <c r="BH27" s="10">
        <f>BH26*'Res. Tank Design'!$D$55</f>
        <v>336.44167191269179</v>
      </c>
      <c r="BI27" s="10">
        <f>BI26*'Res. Tank Design'!$D$55</f>
        <v>336.44167191269179</v>
      </c>
      <c r="BJ27" s="10">
        <f>BJ26*'Res. Tank Design'!$D$55</f>
        <v>336.44167191269179</v>
      </c>
      <c r="BK27" s="10">
        <f>BK26*'Res. Tank Design'!$D$55</f>
        <v>336.44167191269179</v>
      </c>
      <c r="BL27" s="10">
        <f>BL26*'Res. Tank Design'!$D$55</f>
        <v>336.44167191269179</v>
      </c>
      <c r="BM27" s="10">
        <f>BM26*'Res. Tank Design'!$D$55</f>
        <v>336.44167191269179</v>
      </c>
      <c r="BN27" s="10">
        <f>BN26*'Res. Tank Design'!$D$55</f>
        <v>336.44167191269179</v>
      </c>
      <c r="BO27" s="10">
        <f>BO26*'Res. Tank Design'!$D$55</f>
        <v>336.44167191269179</v>
      </c>
      <c r="BP27" s="10">
        <f>BP26*'Res. Tank Design'!$D$55</f>
        <v>336.44167191269179</v>
      </c>
      <c r="BQ27" s="10">
        <f>BQ26*'Res. Tank Design'!$D$55</f>
        <v>336.44167191269179</v>
      </c>
      <c r="BR27" s="10">
        <f>BR26*'Res. Tank Design'!$D$55</f>
        <v>336.44167191269179</v>
      </c>
      <c r="BS27" s="10">
        <f>BS26*'Res. Tank Design'!$D$55</f>
        <v>336.44167191269179</v>
      </c>
      <c r="BT27" s="10">
        <f>BT26*'Res. Tank Design'!$D$55</f>
        <v>336.44167191269179</v>
      </c>
      <c r="BU27" s="10">
        <f>BU26*'Res. Tank Design'!$D$55</f>
        <v>336.44167191269179</v>
      </c>
      <c r="BV27" s="10">
        <f>BV26*'Res. Tank Design'!$D$55</f>
        <v>336.44167191269179</v>
      </c>
      <c r="BW27" s="10">
        <f>BW26*'Res. Tank Design'!$D$55</f>
        <v>336.44167191269179</v>
      </c>
      <c r="BX27" s="10">
        <f>BX26*'Res. Tank Design'!$D$55</f>
        <v>336.44167191269179</v>
      </c>
      <c r="BY27" s="10">
        <f>BY26*'Res. Tank Design'!$D$55</f>
        <v>336.44167191269179</v>
      </c>
      <c r="BZ27" s="10">
        <f>BZ26*'Res. Tank Design'!$D$55</f>
        <v>336.44167191269179</v>
      </c>
      <c r="CA27" s="10">
        <f>CA26*'Res. Tank Design'!$D$55</f>
        <v>336.44167191269179</v>
      </c>
      <c r="CB27" s="10">
        <f>CB26*'Res. Tank Design'!$D$55</f>
        <v>336.44167191269179</v>
      </c>
      <c r="CC27" s="10">
        <f>CC26*'Res. Tank Design'!$D$55</f>
        <v>336.44167191269179</v>
      </c>
      <c r="CD27" s="10">
        <f>CD26*'Res. Tank Design'!$D$55</f>
        <v>336.44167191269179</v>
      </c>
      <c r="CE27" s="10">
        <f>CE26*'Res. Tank Design'!$D$55</f>
        <v>336.44167191269179</v>
      </c>
      <c r="CF27" s="10">
        <f>CF26*'Res. Tank Design'!$D$55</f>
        <v>336.44167191269179</v>
      </c>
      <c r="CG27" s="10">
        <f>CG26*'Res. Tank Design'!$D$55</f>
        <v>336.44167191269179</v>
      </c>
    </row>
    <row r="28" spans="2:85" ht="16.5" customHeight="1">
      <c r="B28" s="10" t="s">
        <v>790</v>
      </c>
      <c r="C28" s="10">
        <f t="shared" ref="C28:AH28" si="25">1/ABS(1+C23-(C23/(C25^2)))</f>
        <v>2.2187500714160175E-8</v>
      </c>
      <c r="D28" s="10">
        <f t="shared" si="25"/>
        <v>9.8496200943905374E-4</v>
      </c>
      <c r="E28" s="10">
        <f t="shared" si="25"/>
        <v>2.8150825042846986E-3</v>
      </c>
      <c r="F28" s="10">
        <f t="shared" si="25"/>
        <v>5.6009032087849632E-3</v>
      </c>
      <c r="G28" s="10">
        <f t="shared" si="25"/>
        <v>9.3654805408168069E-3</v>
      </c>
      <c r="H28" s="10">
        <f t="shared" si="25"/>
        <v>1.4140413649746187E-2</v>
      </c>
      <c r="I28" s="10">
        <f t="shared" si="25"/>
        <v>1.9966518956819876E-2</v>
      </c>
      <c r="J28" s="10">
        <f t="shared" si="25"/>
        <v>2.6894724251993258E-2</v>
      </c>
      <c r="K28" s="10">
        <f t="shared" si="25"/>
        <v>3.4987219838102913E-2</v>
      </c>
      <c r="L28" s="10">
        <f t="shared" si="25"/>
        <v>4.4318916924208786E-2</v>
      </c>
      <c r="M28" s="10">
        <f t="shared" si="25"/>
        <v>5.4979279813634201E-2</v>
      </c>
      <c r="N28" s="10">
        <f t="shared" si="25"/>
        <v>6.707461984773827E-2</v>
      </c>
      <c r="O28" s="10">
        <f t="shared" si="25"/>
        <v>8.0730967580368504E-2</v>
      </c>
      <c r="P28" s="10">
        <f t="shared" si="25"/>
        <v>9.609767817148214E-2</v>
      </c>
      <c r="Q28" s="10">
        <f t="shared" si="25"/>
        <v>0.11335197771859522</v>
      </c>
      <c r="R28" s="10">
        <f t="shared" si="25"/>
        <v>0.13270473141373373</v>
      </c>
      <c r="S28" s="10">
        <f t="shared" si="25"/>
        <v>0.15440781734478567</v>
      </c>
      <c r="T28" s="10">
        <f t="shared" si="25"/>
        <v>0.17876363665160802</v>
      </c>
      <c r="U28" s="10">
        <f t="shared" si="25"/>
        <v>0.20613750359704955</v>
      </c>
      <c r="V28" s="10">
        <f t="shared" si="25"/>
        <v>0.23697397264533643</v>
      </c>
      <c r="W28" s="10">
        <f t="shared" si="25"/>
        <v>0.27181862978704052</v>
      </c>
      <c r="X28" s="10">
        <f t="shared" si="25"/>
        <v>0.3113475942160801</v>
      </c>
      <c r="Y28" s="10">
        <f t="shared" si="25"/>
        <v>0.35640809944664154</v>
      </c>
      <c r="Z28" s="10">
        <f t="shared" si="25"/>
        <v>0.40807531935584601</v>
      </c>
      <c r="AA28" s="10">
        <f t="shared" si="25"/>
        <v>0.46773355523646126</v>
      </c>
      <c r="AB28" s="10">
        <f t="shared" si="25"/>
        <v>0.53719489212829674</v>
      </c>
      <c r="AC28" s="10">
        <f t="shared" si="25"/>
        <v>0.6188771668197468</v>
      </c>
      <c r="AD28" s="10">
        <f t="shared" si="25"/>
        <v>0.71607896560996842</v>
      </c>
      <c r="AE28" s="10">
        <f t="shared" si="25"/>
        <v>0.83341952385666751</v>
      </c>
      <c r="AF28" s="10">
        <f t="shared" si="25"/>
        <v>0.97757168406363304</v>
      </c>
      <c r="AG28" s="10">
        <f t="shared" si="25"/>
        <v>1.1585441158290815</v>
      </c>
      <c r="AH28" s="10">
        <f t="shared" si="25"/>
        <v>1.3920615166863011</v>
      </c>
      <c r="AI28" s="10">
        <f t="shared" ref="AI28:BN28" si="26">1/ABS(1+AI23-(AI23/(AI25^2)))</f>
        <v>1.7043222980969495</v>
      </c>
      <c r="AJ28" s="10">
        <f t="shared" si="26"/>
        <v>2.1424576466907603</v>
      </c>
      <c r="AK28" s="10">
        <f t="shared" si="26"/>
        <v>2.8006521836540021</v>
      </c>
      <c r="AL28" s="10">
        <f t="shared" si="26"/>
        <v>3.898386090735861</v>
      </c>
      <c r="AM28" s="10">
        <f t="shared" si="26"/>
        <v>6.0925966293747305</v>
      </c>
      <c r="AN28" s="10">
        <f t="shared" si="26"/>
        <v>12.649973915407815</v>
      </c>
      <c r="AO28" s="10">
        <f t="shared" si="26"/>
        <v>1920.5721131183618</v>
      </c>
      <c r="AP28" s="10">
        <f t="shared" si="26"/>
        <v>25.05010438412922</v>
      </c>
      <c r="AQ28" s="10">
        <f t="shared" si="26"/>
        <v>9.1259640102822566</v>
      </c>
      <c r="AR28" s="10">
        <f t="shared" si="26"/>
        <v>5.7405127218506253</v>
      </c>
      <c r="AS28" s="10">
        <f t="shared" si="26"/>
        <v>4.268711656441627</v>
      </c>
      <c r="AT28" s="10">
        <f t="shared" si="26"/>
        <v>3.4460952880954974</v>
      </c>
      <c r="AU28" s="10">
        <f t="shared" si="26"/>
        <v>2.9211152669159817</v>
      </c>
      <c r="AV28" s="10">
        <f t="shared" si="26"/>
        <v>2.5572274691851851</v>
      </c>
      <c r="AW28" s="10">
        <f t="shared" si="26"/>
        <v>2.2903225806451446</v>
      </c>
      <c r="AX28" s="10">
        <f t="shared" si="26"/>
        <v>2.0863185899567553</v>
      </c>
      <c r="AY28" s="10">
        <f t="shared" si="26"/>
        <v>1.9254237288135501</v>
      </c>
      <c r="AZ28" s="10">
        <f t="shared" si="26"/>
        <v>1.7953576055017775</v>
      </c>
      <c r="BA28" s="10">
        <f t="shared" si="26"/>
        <v>1.6880967778749891</v>
      </c>
      <c r="BB28" s="10">
        <f t="shared" si="26"/>
        <v>1.598177428148605</v>
      </c>
      <c r="BC28" s="10">
        <f t="shared" si="26"/>
        <v>1.5217501585288484</v>
      </c>
      <c r="BD28" s="10">
        <f t="shared" si="26"/>
        <v>1.456024822047816</v>
      </c>
      <c r="BE28" s="10">
        <f t="shared" si="26"/>
        <v>1.3989297008027219</v>
      </c>
      <c r="BF28" s="10">
        <f t="shared" si="26"/>
        <v>1.3488943180319406</v>
      </c>
      <c r="BG28" s="10">
        <f t="shared" si="26"/>
        <v>1.3047065441590082</v>
      </c>
      <c r="BH28" s="10">
        <f t="shared" si="26"/>
        <v>1.2654159466798307</v>
      </c>
      <c r="BI28" s="10">
        <f t="shared" si="26"/>
        <v>1.2302668177603782</v>
      </c>
      <c r="BJ28" s="10">
        <f t="shared" si="26"/>
        <v>1.1986507655523269</v>
      </c>
      <c r="BK28" s="10">
        <f t="shared" si="26"/>
        <v>1.1700725115359254</v>
      </c>
      <c r="BL28" s="10">
        <f t="shared" si="26"/>
        <v>1.1441247926690363</v>
      </c>
      <c r="BM28" s="10">
        <f t="shared" si="26"/>
        <v>1.1204696608916984</v>
      </c>
      <c r="BN28" s="10">
        <f t="shared" si="26"/>
        <v>1.0988243551500261</v>
      </c>
      <c r="BO28" s="10">
        <f t="shared" ref="BO28:CG28" si="27">1/ABS(1+BO23-(BO23/(BO25^2)))</f>
        <v>1.0789504926985631</v>
      </c>
      <c r="BP28" s="10">
        <f t="shared" si="27"/>
        <v>1.060645704203689</v>
      </c>
      <c r="BQ28" s="10">
        <f t="shared" si="27"/>
        <v>1.0437370914834163</v>
      </c>
      <c r="BR28" s="10">
        <f t="shared" si="27"/>
        <v>1.028076060835766</v>
      </c>
      <c r="BS28" s="10">
        <f t="shared" si="27"/>
        <v>1.0135342059767845</v>
      </c>
      <c r="BT28" s="10">
        <f t="shared" si="27"/>
        <v>1</v>
      </c>
      <c r="BU28" s="10">
        <f t="shared" si="27"/>
        <v>0.88521217816574216</v>
      </c>
      <c r="BV28" s="10">
        <f t="shared" si="27"/>
        <v>0.82611638996764203</v>
      </c>
      <c r="BW28" s="10">
        <f t="shared" si="27"/>
        <v>0.79100181243883438</v>
      </c>
      <c r="BX28" s="10">
        <f t="shared" si="27"/>
        <v>0.76819526841123309</v>
      </c>
      <c r="BY28" s="10">
        <f t="shared" si="27"/>
        <v>0.75244706171244213</v>
      </c>
      <c r="BZ28" s="10">
        <f t="shared" si="27"/>
        <v>0.74107163076391491</v>
      </c>
      <c r="CA28" s="10">
        <f t="shared" si="27"/>
        <v>0.73256468295899002</v>
      </c>
      <c r="CB28" s="10">
        <f t="shared" si="27"/>
        <v>0.72602456633101808</v>
      </c>
      <c r="CC28" s="10">
        <f t="shared" si="27"/>
        <v>0.7208816029568933</v>
      </c>
      <c r="CD28" s="10">
        <f t="shared" si="27"/>
        <v>0.71676031253329087</v>
      </c>
      <c r="CE28" s="10">
        <f t="shared" si="27"/>
        <v>0.71340445508261907</v>
      </c>
      <c r="CF28" s="10">
        <f t="shared" si="27"/>
        <v>0.71063399208418743</v>
      </c>
      <c r="CG28" s="10">
        <f t="shared" si="27"/>
        <v>0.70831924637108601</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f t="shared" si="29"/>
        <v>1920.5721131183618</v>
      </c>
      <c r="AP29" s="10">
        <f t="shared" si="29"/>
        <v>5.005007930476161</v>
      </c>
      <c r="AQ29" s="10">
        <f t="shared" si="29"/>
        <v>3.0209210533018345</v>
      </c>
      <c r="AR29" s="10">
        <f t="shared" si="29"/>
        <v>2.3959367107356195</v>
      </c>
      <c r="AS29" s="10">
        <f t="shared" si="29"/>
        <v>2.0660860718860734</v>
      </c>
      <c r="AT29" s="10">
        <f t="shared" si="29"/>
        <v>1.8563661514085781</v>
      </c>
      <c r="AU29" s="10">
        <f t="shared" si="29"/>
        <v>1.7091270482079386</v>
      </c>
      <c r="AV29" s="10">
        <f t="shared" si="29"/>
        <v>1.5991333494068547</v>
      </c>
      <c r="AW29" s="10">
        <f t="shared" si="29"/>
        <v>1.5133811749341755</v>
      </c>
      <c r="AX29" s="10">
        <f t="shared" si="29"/>
        <v>1.4444094260135369</v>
      </c>
      <c r="AY29" s="10">
        <f t="shared" si="29"/>
        <v>1.3875963854138385</v>
      </c>
      <c r="AZ29" s="10">
        <f t="shared" si="29"/>
        <v>1.3399095512391042</v>
      </c>
      <c r="BA29" s="10">
        <f t="shared" si="29"/>
        <v>1.2992677852833068</v>
      </c>
      <c r="BB29" s="10">
        <f t="shared" si="29"/>
        <v>1.2641904240060535</v>
      </c>
      <c r="BC29" s="10">
        <f t="shared" si="29"/>
        <v>1.2335923794061181</v>
      </c>
      <c r="BD29" s="10">
        <f t="shared" si="29"/>
        <v>1.2066585358119404</v>
      </c>
      <c r="BE29" s="10">
        <f t="shared" si="29"/>
        <v>1.1827635861839516</v>
      </c>
      <c r="BF29" s="10">
        <f t="shared" si="29"/>
        <v>1.1614190966364988</v>
      </c>
      <c r="BG29" s="10">
        <f t="shared" si="29"/>
        <v>1.1422375165257916</v>
      </c>
      <c r="BH29" s="10">
        <f t="shared" si="29"/>
        <v>1.1249070835761639</v>
      </c>
      <c r="BI29" s="10">
        <f t="shared" si="29"/>
        <v>1.1091739348543932</v>
      </c>
      <c r="BJ29" s="10">
        <f t="shared" si="29"/>
        <v>1.0948291033546409</v>
      </c>
      <c r="BK29" s="10">
        <f t="shared" si="29"/>
        <v>1.081698900589219</v>
      </c>
      <c r="BL29" s="10">
        <f t="shared" si="29"/>
        <v>1.0696376922439841</v>
      </c>
      <c r="BM29" s="10">
        <f t="shared" si="29"/>
        <v>1.0585223950827392</v>
      </c>
      <c r="BN29" s="10">
        <f t="shared" si="29"/>
        <v>1.0482482316465056</v>
      </c>
      <c r="BO29" s="10">
        <f t="shared" ref="BO29:CG29" si="30">IF(BP30&gt;BO30,NA(),(IF(BO30&lt;1,NA(),BO30)))</f>
        <v>1.0387254173738905</v>
      </c>
      <c r="BP29" s="10">
        <f t="shared" si="30"/>
        <v>1.0298765480404382</v>
      </c>
      <c r="BQ29" s="10">
        <f t="shared" si="30"/>
        <v>1.0216345195241869</v>
      </c>
      <c r="BR29" s="10">
        <f t="shared" si="30"/>
        <v>1.01394085667546</v>
      </c>
      <c r="BS29" s="10">
        <f t="shared" si="30"/>
        <v>1.0067443597938777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2.2187500714160175E-8</v>
      </c>
      <c r="D30" s="10">
        <f t="shared" si="31"/>
        <v>9.8496200943905374E-4</v>
      </c>
      <c r="E30" s="10">
        <f t="shared" si="31"/>
        <v>2.8150825042846986E-3</v>
      </c>
      <c r="F30" s="10">
        <f t="shared" si="31"/>
        <v>5.6009032087849632E-3</v>
      </c>
      <c r="G30" s="10">
        <f t="shared" si="31"/>
        <v>9.3654805408168069E-3</v>
      </c>
      <c r="H30" s="10">
        <f t="shared" si="31"/>
        <v>1.4140413649746187E-2</v>
      </c>
      <c r="I30" s="10">
        <f t="shared" si="31"/>
        <v>1.9966518956819876E-2</v>
      </c>
      <c r="J30" s="10">
        <f t="shared" si="31"/>
        <v>2.6894724251993258E-2</v>
      </c>
      <c r="K30" s="10">
        <f t="shared" si="31"/>
        <v>3.4987219838102913E-2</v>
      </c>
      <c r="L30" s="10">
        <f t="shared" si="31"/>
        <v>4.4318916924208786E-2</v>
      </c>
      <c r="M30" s="10">
        <f t="shared" si="31"/>
        <v>5.4979279813634201E-2</v>
      </c>
      <c r="N30" s="10">
        <f t="shared" si="31"/>
        <v>6.707461984773827E-2</v>
      </c>
      <c r="O30" s="10">
        <f t="shared" si="31"/>
        <v>8.0730967580368504E-2</v>
      </c>
      <c r="P30" s="10">
        <f t="shared" si="31"/>
        <v>9.609767817148214E-2</v>
      </c>
      <c r="Q30" s="10">
        <f t="shared" si="31"/>
        <v>0.11335197771859522</v>
      </c>
      <c r="R30" s="10">
        <f t="shared" si="31"/>
        <v>0.13270473141373373</v>
      </c>
      <c r="S30" s="10">
        <f t="shared" si="31"/>
        <v>0.15440781734478567</v>
      </c>
      <c r="T30" s="10">
        <f t="shared" si="31"/>
        <v>0.17876363665160802</v>
      </c>
      <c r="U30" s="10">
        <f t="shared" si="31"/>
        <v>0.20613750359704955</v>
      </c>
      <c r="V30" s="10">
        <f t="shared" si="31"/>
        <v>0.23697397264533643</v>
      </c>
      <c r="W30" s="10">
        <f t="shared" si="31"/>
        <v>0.27181862978704052</v>
      </c>
      <c r="X30" s="10">
        <f t="shared" si="31"/>
        <v>0.3113475942160801</v>
      </c>
      <c r="Y30" s="10">
        <f t="shared" si="31"/>
        <v>0.35640809944664154</v>
      </c>
      <c r="Z30" s="10">
        <f t="shared" si="31"/>
        <v>0.40807531935584601</v>
      </c>
      <c r="AA30" s="10">
        <f t="shared" si="31"/>
        <v>0.46773355523646126</v>
      </c>
      <c r="AB30" s="10">
        <f t="shared" si="31"/>
        <v>0.53719489212829674</v>
      </c>
      <c r="AC30" s="10">
        <f t="shared" si="31"/>
        <v>0.6188771668197468</v>
      </c>
      <c r="AD30" s="10">
        <f t="shared" si="31"/>
        <v>0.71607896560996842</v>
      </c>
      <c r="AE30" s="10">
        <f t="shared" si="31"/>
        <v>0.83341952385666751</v>
      </c>
      <c r="AF30" s="10">
        <f t="shared" si="31"/>
        <v>0.97757168406363304</v>
      </c>
      <c r="AG30" s="10">
        <f t="shared" si="31"/>
        <v>1.1585441158290815</v>
      </c>
      <c r="AH30" s="10">
        <f t="shared" si="31"/>
        <v>1.3920615166863011</v>
      </c>
      <c r="AI30" s="10">
        <f t="shared" ref="AI30:BN30" si="32">IFERROR(AI25/((((AI25^2)*(1+AI23))-AI23)^0.5),AI28)</f>
        <v>1.7043222980969495</v>
      </c>
      <c r="AJ30" s="10">
        <f t="shared" si="32"/>
        <v>2.1424576466907603</v>
      </c>
      <c r="AK30" s="10">
        <f t="shared" si="32"/>
        <v>2.8006521836540021</v>
      </c>
      <c r="AL30" s="10">
        <f t="shared" si="32"/>
        <v>3.898386090735861</v>
      </c>
      <c r="AM30" s="10">
        <f t="shared" si="32"/>
        <v>6.0925966293747305</v>
      </c>
      <c r="AN30" s="10">
        <f t="shared" si="32"/>
        <v>12.649973915407815</v>
      </c>
      <c r="AO30" s="10">
        <f t="shared" si="32"/>
        <v>1920.5721131183618</v>
      </c>
      <c r="AP30" s="10">
        <f t="shared" si="32"/>
        <v>5.005007930476161</v>
      </c>
      <c r="AQ30" s="10">
        <f t="shared" si="32"/>
        <v>3.0209210533018345</v>
      </c>
      <c r="AR30" s="10">
        <f t="shared" si="32"/>
        <v>2.3959367107356195</v>
      </c>
      <c r="AS30" s="10">
        <f t="shared" si="32"/>
        <v>2.0660860718860734</v>
      </c>
      <c r="AT30" s="10">
        <f t="shared" si="32"/>
        <v>1.8563661514085781</v>
      </c>
      <c r="AU30" s="10">
        <f t="shared" si="32"/>
        <v>1.7091270482079386</v>
      </c>
      <c r="AV30" s="10">
        <f t="shared" si="32"/>
        <v>1.5991333494068547</v>
      </c>
      <c r="AW30" s="10">
        <f t="shared" si="32"/>
        <v>1.5133811749341755</v>
      </c>
      <c r="AX30" s="10">
        <f t="shared" si="32"/>
        <v>1.4444094260135369</v>
      </c>
      <c r="AY30" s="10">
        <f t="shared" si="32"/>
        <v>1.3875963854138385</v>
      </c>
      <c r="AZ30" s="10">
        <f t="shared" si="32"/>
        <v>1.3399095512391042</v>
      </c>
      <c r="BA30" s="10">
        <f t="shared" si="32"/>
        <v>1.2992677852833068</v>
      </c>
      <c r="BB30" s="10">
        <f t="shared" si="32"/>
        <v>1.2641904240060535</v>
      </c>
      <c r="BC30" s="10">
        <f t="shared" si="32"/>
        <v>1.2335923794061181</v>
      </c>
      <c r="BD30" s="10">
        <f t="shared" si="32"/>
        <v>1.2066585358119404</v>
      </c>
      <c r="BE30" s="10">
        <f t="shared" si="32"/>
        <v>1.1827635861839516</v>
      </c>
      <c r="BF30" s="10">
        <f t="shared" si="32"/>
        <v>1.1614190966364988</v>
      </c>
      <c r="BG30" s="10">
        <f t="shared" si="32"/>
        <v>1.1422375165257916</v>
      </c>
      <c r="BH30" s="10">
        <f t="shared" si="32"/>
        <v>1.1249070835761639</v>
      </c>
      <c r="BI30" s="10">
        <f t="shared" si="32"/>
        <v>1.1091739348543932</v>
      </c>
      <c r="BJ30" s="10">
        <f t="shared" si="32"/>
        <v>1.0948291033546409</v>
      </c>
      <c r="BK30" s="10">
        <f t="shared" si="32"/>
        <v>1.081698900589219</v>
      </c>
      <c r="BL30" s="10">
        <f t="shared" si="32"/>
        <v>1.0696376922439841</v>
      </c>
      <c r="BM30" s="10">
        <f t="shared" si="32"/>
        <v>1.0585223950827392</v>
      </c>
      <c r="BN30" s="10">
        <f t="shared" si="32"/>
        <v>1.0482482316465056</v>
      </c>
      <c r="BO30" s="10">
        <f t="shared" ref="BO30:CG30" si="33">IFERROR(BO25/((((BO25^2)*(1+BO23))-BO23)^0.5),BO28)</f>
        <v>1.0387254173738905</v>
      </c>
      <c r="BP30" s="10">
        <f t="shared" si="33"/>
        <v>1.0298765480404382</v>
      </c>
      <c r="BQ30" s="10">
        <f t="shared" si="33"/>
        <v>1.0216345195241869</v>
      </c>
      <c r="BR30" s="10">
        <f t="shared" si="33"/>
        <v>1.01394085667546</v>
      </c>
      <c r="BS30" s="10">
        <f t="shared" si="33"/>
        <v>1.0067443597938777</v>
      </c>
      <c r="BT30" s="10">
        <f t="shared" si="33"/>
        <v>1</v>
      </c>
      <c r="BU30" s="10">
        <f t="shared" si="33"/>
        <v>0.94085715077568621</v>
      </c>
      <c r="BV30" s="10">
        <f t="shared" si="33"/>
        <v>0.90890945091776998</v>
      </c>
      <c r="BW30" s="10">
        <f t="shared" si="33"/>
        <v>0.8893828267055951</v>
      </c>
      <c r="BX30" s="10">
        <f t="shared" si="33"/>
        <v>0.87646749421255388</v>
      </c>
      <c r="BY30" s="10">
        <f t="shared" si="33"/>
        <v>0.86743706498652795</v>
      </c>
      <c r="BZ30" s="10">
        <f t="shared" si="33"/>
        <v>0.86085517409371182</v>
      </c>
      <c r="CA30" s="10">
        <f t="shared" si="33"/>
        <v>0.85589992578512941</v>
      </c>
      <c r="CB30" s="10">
        <f t="shared" si="33"/>
        <v>0.85207075195139637</v>
      </c>
      <c r="CC30" s="10">
        <f t="shared" si="33"/>
        <v>0.84904746802336872</v>
      </c>
      <c r="CD30" s="10">
        <f t="shared" si="33"/>
        <v>0.84661698100929372</v>
      </c>
      <c r="CE30" s="10">
        <f t="shared" si="33"/>
        <v>0.84463273384508308</v>
      </c>
      <c r="CF30" s="10">
        <f t="shared" si="33"/>
        <v>0.84299109846082432</v>
      </c>
      <c r="CG30" s="10">
        <f t="shared" si="33"/>
        <v>0.8416170425859294</v>
      </c>
    </row>
    <row r="31" spans="2:85" ht="16.5" customHeight="1">
      <c r="B31" s="10" t="s">
        <v>792</v>
      </c>
      <c r="C31" s="10">
        <f t="shared" ref="C31:AH31" si="34">1/(1+C23)</f>
        <v>0.68932038834951448</v>
      </c>
      <c r="D31" s="10">
        <f t="shared" si="34"/>
        <v>0.68932038834951448</v>
      </c>
      <c r="E31" s="10">
        <f t="shared" si="34"/>
        <v>0.68932038834951448</v>
      </c>
      <c r="F31" s="10">
        <f t="shared" si="34"/>
        <v>0.68932038834951448</v>
      </c>
      <c r="G31" s="10">
        <f t="shared" si="34"/>
        <v>0.68932038834951448</v>
      </c>
      <c r="H31" s="10">
        <f t="shared" si="34"/>
        <v>0.68932038834951448</v>
      </c>
      <c r="I31" s="10">
        <f t="shared" si="34"/>
        <v>0.68932038834951448</v>
      </c>
      <c r="J31" s="10">
        <f t="shared" si="34"/>
        <v>0.68932038834951448</v>
      </c>
      <c r="K31" s="10">
        <f t="shared" si="34"/>
        <v>0.68932038834951448</v>
      </c>
      <c r="L31" s="10">
        <f t="shared" si="34"/>
        <v>0.68932038834951448</v>
      </c>
      <c r="M31" s="10">
        <f t="shared" si="34"/>
        <v>0.68932038834951448</v>
      </c>
      <c r="N31" s="10">
        <f t="shared" si="34"/>
        <v>0.68932038834951448</v>
      </c>
      <c r="O31" s="10">
        <f t="shared" si="34"/>
        <v>0.68932038834951448</v>
      </c>
      <c r="P31" s="10">
        <f t="shared" si="34"/>
        <v>0.68932038834951448</v>
      </c>
      <c r="Q31" s="10">
        <f t="shared" si="34"/>
        <v>0.68932038834951448</v>
      </c>
      <c r="R31" s="10">
        <f t="shared" si="34"/>
        <v>0.68932038834951448</v>
      </c>
      <c r="S31" s="10">
        <f t="shared" si="34"/>
        <v>0.68932038834951448</v>
      </c>
      <c r="T31" s="10">
        <f t="shared" si="34"/>
        <v>0.68932038834951448</v>
      </c>
      <c r="U31" s="10">
        <f t="shared" si="34"/>
        <v>0.68932038834951448</v>
      </c>
      <c r="V31" s="10">
        <f t="shared" si="34"/>
        <v>0.68932038834951448</v>
      </c>
      <c r="W31" s="10">
        <f t="shared" si="34"/>
        <v>0.68932038834951448</v>
      </c>
      <c r="X31" s="10">
        <f t="shared" si="34"/>
        <v>0.68932038834951448</v>
      </c>
      <c r="Y31" s="10">
        <f t="shared" si="34"/>
        <v>0.68932038834951448</v>
      </c>
      <c r="Z31" s="10">
        <f t="shared" si="34"/>
        <v>0.68932038834951448</v>
      </c>
      <c r="AA31" s="10">
        <f t="shared" si="34"/>
        <v>0.68932038834951448</v>
      </c>
      <c r="AB31" s="10">
        <f t="shared" si="34"/>
        <v>0.68932038834951448</v>
      </c>
      <c r="AC31" s="10">
        <f t="shared" si="34"/>
        <v>0.68932038834951448</v>
      </c>
      <c r="AD31" s="10">
        <f t="shared" si="34"/>
        <v>0.68932038834951448</v>
      </c>
      <c r="AE31" s="10">
        <f t="shared" si="34"/>
        <v>0.68932038834951448</v>
      </c>
      <c r="AF31" s="10">
        <f t="shared" si="34"/>
        <v>0.68932038834951448</v>
      </c>
      <c r="AG31" s="10">
        <f t="shared" si="34"/>
        <v>0.68932038834951448</v>
      </c>
      <c r="AH31" s="10">
        <f t="shared" si="34"/>
        <v>0.68932038834951448</v>
      </c>
      <c r="AI31" s="10">
        <f t="shared" ref="AI31:BN31" si="35">1/(1+AI23)</f>
        <v>0.68932038834951448</v>
      </c>
      <c r="AJ31" s="10">
        <f t="shared" si="35"/>
        <v>0.68932038834951448</v>
      </c>
      <c r="AK31" s="10">
        <f t="shared" si="35"/>
        <v>0.68932038834951448</v>
      </c>
      <c r="AL31" s="10">
        <f t="shared" si="35"/>
        <v>0.68932038834951448</v>
      </c>
      <c r="AM31" s="10">
        <f t="shared" si="35"/>
        <v>0.68932038834951448</v>
      </c>
      <c r="AN31" s="10">
        <f t="shared" si="35"/>
        <v>0.68932038834951448</v>
      </c>
      <c r="AO31" s="10">
        <f t="shared" si="35"/>
        <v>0.68932038834951448</v>
      </c>
      <c r="AP31" s="10">
        <f t="shared" si="35"/>
        <v>0.68932038834951448</v>
      </c>
      <c r="AQ31" s="10">
        <f t="shared" si="35"/>
        <v>0.68932038834951448</v>
      </c>
      <c r="AR31" s="10">
        <f t="shared" si="35"/>
        <v>0.68932038834951448</v>
      </c>
      <c r="AS31" s="10">
        <f t="shared" si="35"/>
        <v>0.68932038834951448</v>
      </c>
      <c r="AT31" s="10">
        <f t="shared" si="35"/>
        <v>0.68932038834951448</v>
      </c>
      <c r="AU31" s="10">
        <f t="shared" si="35"/>
        <v>0.68932038834951448</v>
      </c>
      <c r="AV31" s="10">
        <f t="shared" si="35"/>
        <v>0.68932038834951448</v>
      </c>
      <c r="AW31" s="10">
        <f t="shared" si="35"/>
        <v>0.68932038834951448</v>
      </c>
      <c r="AX31" s="10">
        <f t="shared" si="35"/>
        <v>0.68932038834951448</v>
      </c>
      <c r="AY31" s="10">
        <f t="shared" si="35"/>
        <v>0.68932038834951448</v>
      </c>
      <c r="AZ31" s="10">
        <f t="shared" si="35"/>
        <v>0.68932038834951448</v>
      </c>
      <c r="BA31" s="10">
        <f t="shared" si="35"/>
        <v>0.68932038834951448</v>
      </c>
      <c r="BB31" s="10">
        <f t="shared" si="35"/>
        <v>0.68932038834951448</v>
      </c>
      <c r="BC31" s="10">
        <f t="shared" si="35"/>
        <v>0.68932038834951448</v>
      </c>
      <c r="BD31" s="10">
        <f t="shared" si="35"/>
        <v>0.68932038834951448</v>
      </c>
      <c r="BE31" s="10">
        <f t="shared" si="35"/>
        <v>0.68932038834951448</v>
      </c>
      <c r="BF31" s="10">
        <f t="shared" si="35"/>
        <v>0.68932038834951448</v>
      </c>
      <c r="BG31" s="10">
        <f t="shared" si="35"/>
        <v>0.68932038834951448</v>
      </c>
      <c r="BH31" s="10">
        <f t="shared" si="35"/>
        <v>0.68932038834951448</v>
      </c>
      <c r="BI31" s="10">
        <f t="shared" si="35"/>
        <v>0.68932038834951448</v>
      </c>
      <c r="BJ31" s="10">
        <f t="shared" si="35"/>
        <v>0.68932038834951448</v>
      </c>
      <c r="BK31" s="10">
        <f t="shared" si="35"/>
        <v>0.68932038834951448</v>
      </c>
      <c r="BL31" s="10">
        <f t="shared" si="35"/>
        <v>0.68932038834951448</v>
      </c>
      <c r="BM31" s="10">
        <f t="shared" si="35"/>
        <v>0.68932038834951448</v>
      </c>
      <c r="BN31" s="10">
        <f t="shared" si="35"/>
        <v>0.68932038834951448</v>
      </c>
      <c r="BO31" s="10">
        <f t="shared" ref="BO31:CG31" si="36">1/(1+BO23)</f>
        <v>0.68932038834951448</v>
      </c>
      <c r="BP31" s="10">
        <f t="shared" si="36"/>
        <v>0.68932038834951448</v>
      </c>
      <c r="BQ31" s="10">
        <f t="shared" si="36"/>
        <v>0.68932038834951448</v>
      </c>
      <c r="BR31" s="10">
        <f t="shared" si="36"/>
        <v>0.68932038834951448</v>
      </c>
      <c r="BS31" s="10">
        <f t="shared" si="36"/>
        <v>0.68932038834951448</v>
      </c>
      <c r="BT31" s="10">
        <f t="shared" si="36"/>
        <v>0.68932038834951448</v>
      </c>
      <c r="BU31" s="10">
        <f t="shared" si="36"/>
        <v>0.68932038834951448</v>
      </c>
      <c r="BV31" s="10">
        <f t="shared" si="36"/>
        <v>0.68932038834951448</v>
      </c>
      <c r="BW31" s="10">
        <f t="shared" si="36"/>
        <v>0.68932038834951448</v>
      </c>
      <c r="BX31" s="10">
        <f t="shared" si="36"/>
        <v>0.68932038834951448</v>
      </c>
      <c r="BY31" s="10">
        <f t="shared" si="36"/>
        <v>0.68932038834951448</v>
      </c>
      <c r="BZ31" s="10">
        <f t="shared" si="36"/>
        <v>0.68932038834951448</v>
      </c>
      <c r="CA31" s="10">
        <f t="shared" si="36"/>
        <v>0.68932038834951448</v>
      </c>
      <c r="CB31" s="10">
        <f t="shared" si="36"/>
        <v>0.68932038834951448</v>
      </c>
      <c r="CC31" s="10">
        <f t="shared" si="36"/>
        <v>0.68932038834951448</v>
      </c>
      <c r="CD31" s="10">
        <f t="shared" si="36"/>
        <v>0.68932038834951448</v>
      </c>
      <c r="CE31" s="10">
        <f t="shared" si="36"/>
        <v>0.68932038834951448</v>
      </c>
      <c r="CF31" s="10">
        <f t="shared" si="36"/>
        <v>0.68932038834951448</v>
      </c>
      <c r="CG31" s="10">
        <f t="shared" si="36"/>
        <v>0.68932038834951448</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5.9628479399994392</v>
      </c>
      <c r="D40" s="87">
        <f>'Res. Tank Design'!$D$52</f>
        <v>5.9628479399994392</v>
      </c>
      <c r="E40" s="87">
        <f>'Res. Tank Design'!$D$52</f>
        <v>5.9628479399994392</v>
      </c>
      <c r="F40" s="87">
        <f>'Res. Tank Design'!$D$52</f>
        <v>5.9628479399994392</v>
      </c>
      <c r="G40" s="87">
        <f>'Res. Tank Design'!$D$52</f>
        <v>5.9628479399994392</v>
      </c>
      <c r="H40" s="87">
        <f>'Res. Tank Design'!$D$52</f>
        <v>5.9628479399994392</v>
      </c>
      <c r="I40" s="87">
        <f>'Res. Tank Design'!$D$52</f>
        <v>5.9628479399994392</v>
      </c>
      <c r="J40" s="87">
        <f>'Res. Tank Design'!$D$52</f>
        <v>5.9628479399994392</v>
      </c>
      <c r="K40" s="87">
        <f>'Res. Tank Design'!$D$52</f>
        <v>5.9628479399994392</v>
      </c>
      <c r="L40" s="87">
        <f>'Res. Tank Design'!$D$52</f>
        <v>5.9628479399994392</v>
      </c>
      <c r="M40" s="87">
        <f>'Res. Tank Design'!$D$52</f>
        <v>5.9628479399994392</v>
      </c>
      <c r="N40" s="87">
        <f>'Res. Tank Design'!$D$52</f>
        <v>5.9628479399994392</v>
      </c>
      <c r="O40" s="87">
        <f>'Res. Tank Design'!$D$52</f>
        <v>5.9628479399994392</v>
      </c>
      <c r="P40" s="87">
        <f>'Res. Tank Design'!$D$52</f>
        <v>5.9628479399994392</v>
      </c>
      <c r="Q40" s="87">
        <f>'Res. Tank Design'!$D$52</f>
        <v>5.9628479399994392</v>
      </c>
      <c r="R40" s="87">
        <f>'Res. Tank Design'!$D$52</f>
        <v>5.9628479399994392</v>
      </c>
      <c r="S40" s="87">
        <f>'Res. Tank Design'!$D$52</f>
        <v>5.9628479399994392</v>
      </c>
      <c r="T40" s="87">
        <f>'Res. Tank Design'!$D$52</f>
        <v>5.9628479399994392</v>
      </c>
      <c r="U40" s="87">
        <f>'Res. Tank Design'!$D$52</f>
        <v>5.9628479399994392</v>
      </c>
      <c r="V40" s="87">
        <f>'Res. Tank Design'!$D$52</f>
        <v>5.9628479399994392</v>
      </c>
      <c r="W40" s="87">
        <f>'Res. Tank Design'!$D$52</f>
        <v>5.9628479399994392</v>
      </c>
      <c r="X40" s="87">
        <f>'Res. Tank Design'!$D$52</f>
        <v>5.9628479399994392</v>
      </c>
      <c r="Y40" s="87">
        <f>'Res. Tank Design'!$D$52</f>
        <v>5.9628479399994392</v>
      </c>
      <c r="Z40" s="87">
        <f>'Res. Tank Design'!$D$52</f>
        <v>5.9628479399994392</v>
      </c>
      <c r="AA40" s="87">
        <f>'Res. Tank Design'!$D$52</f>
        <v>5.9628479399994392</v>
      </c>
      <c r="AB40" s="87">
        <f>'Res. Tank Design'!$D$52</f>
        <v>5.9628479399994392</v>
      </c>
      <c r="AC40" s="87">
        <f>'Res. Tank Design'!$D$52</f>
        <v>5.9628479399994392</v>
      </c>
      <c r="AD40" s="87">
        <f>'Res. Tank Design'!$D$52</f>
        <v>5.9628479399994392</v>
      </c>
      <c r="AE40" s="87">
        <f>'Res. Tank Design'!$D$52</f>
        <v>5.9628479399994392</v>
      </c>
      <c r="AF40" s="87">
        <f>'Res. Tank Design'!$D$52</f>
        <v>5.9628479399994392</v>
      </c>
      <c r="AG40" s="87">
        <f>'Res. Tank Design'!$D$52</f>
        <v>5.9628479399994392</v>
      </c>
      <c r="AH40" s="87">
        <f>'Res. Tank Design'!$D$52</f>
        <v>5.9628479399994392</v>
      </c>
      <c r="AI40" s="87">
        <f>'Res. Tank Design'!$D$52</f>
        <v>5.9628479399994392</v>
      </c>
      <c r="AJ40" s="87">
        <f>'Res. Tank Design'!$D$52</f>
        <v>5.9628479399994392</v>
      </c>
      <c r="AK40" s="87">
        <f>'Res. Tank Design'!$D$52</f>
        <v>5.9628479399994392</v>
      </c>
      <c r="AL40" s="87">
        <f>'Res. Tank Design'!$D$52</f>
        <v>5.9628479399994392</v>
      </c>
      <c r="AM40" s="87">
        <f>'Res. Tank Design'!$D$52</f>
        <v>5.9628479399994392</v>
      </c>
      <c r="AN40" s="87">
        <f>'Res. Tank Design'!$D$52</f>
        <v>5.9628479399994392</v>
      </c>
      <c r="AO40" s="87">
        <f>'Res. Tank Design'!$D$52</f>
        <v>5.9628479399994392</v>
      </c>
      <c r="AP40" s="87">
        <f>'Res. Tank Design'!$D$52</f>
        <v>5.9628479399994392</v>
      </c>
      <c r="AQ40" s="87">
        <f>'Res. Tank Design'!$D$52</f>
        <v>5.9628479399994392</v>
      </c>
      <c r="AR40" s="87">
        <f>'Res. Tank Design'!$D$52</f>
        <v>5.9628479399994392</v>
      </c>
      <c r="AS40" s="87">
        <f>'Res. Tank Design'!$D$52</f>
        <v>5.9628479399994392</v>
      </c>
      <c r="AT40" s="87">
        <f>'Res. Tank Design'!$D$52</f>
        <v>5.9628479399994392</v>
      </c>
      <c r="AU40" s="87">
        <f>'Res. Tank Design'!$D$52</f>
        <v>5.9628479399994392</v>
      </c>
      <c r="AV40" s="87">
        <f>'Res. Tank Design'!$D$52</f>
        <v>5.9628479399994392</v>
      </c>
      <c r="AW40" s="87">
        <f>'Res. Tank Design'!$D$52</f>
        <v>5.9628479399994392</v>
      </c>
      <c r="AX40" s="87">
        <f>'Res. Tank Design'!$D$52</f>
        <v>5.9628479399994392</v>
      </c>
      <c r="AY40" s="87">
        <f>'Res. Tank Design'!$D$52</f>
        <v>5.9628479399994392</v>
      </c>
      <c r="AZ40" s="87">
        <f>'Res. Tank Design'!$D$52</f>
        <v>5.9628479399994392</v>
      </c>
      <c r="BA40" s="87">
        <f>'Res. Tank Design'!$D$52</f>
        <v>5.9628479399994392</v>
      </c>
      <c r="BB40" s="87">
        <f>'Res. Tank Design'!$D$52</f>
        <v>5.9628479399994392</v>
      </c>
      <c r="BC40" s="87">
        <f>'Res. Tank Design'!$D$52</f>
        <v>5.9628479399994392</v>
      </c>
      <c r="BD40" s="87">
        <f>'Res. Tank Design'!$D$52</f>
        <v>5.9628479399994392</v>
      </c>
      <c r="BE40" s="87">
        <f>'Res. Tank Design'!$D$52</f>
        <v>5.9628479399994392</v>
      </c>
      <c r="BF40" s="87">
        <f>'Res. Tank Design'!$D$52</f>
        <v>5.9628479399994392</v>
      </c>
      <c r="BG40" s="87">
        <f>'Res. Tank Design'!$D$52</f>
        <v>5.9628479399994392</v>
      </c>
      <c r="BH40" s="87">
        <f>'Res. Tank Design'!$D$52</f>
        <v>5.9628479399994392</v>
      </c>
      <c r="BI40" s="87">
        <f>'Res. Tank Design'!$D$52</f>
        <v>5.9628479399994392</v>
      </c>
      <c r="BJ40" s="87">
        <f>'Res. Tank Design'!$D$52</f>
        <v>5.9628479399994392</v>
      </c>
      <c r="BK40" s="87">
        <f>'Res. Tank Design'!$D$52</f>
        <v>5.9628479399994392</v>
      </c>
      <c r="BL40" s="87">
        <f>'Res. Tank Design'!$D$52</f>
        <v>5.9628479399994392</v>
      </c>
      <c r="BM40" s="87">
        <f>'Res. Tank Design'!$D$52</f>
        <v>5.9628479399994392</v>
      </c>
      <c r="BN40" s="87">
        <f>'Res. Tank Design'!$D$52</f>
        <v>5.9628479399994392</v>
      </c>
      <c r="BO40" s="87">
        <f>'Res. Tank Design'!$D$52</f>
        <v>5.9628479399994392</v>
      </c>
      <c r="BP40" s="87">
        <f>'Res. Tank Design'!$D$52</f>
        <v>5.9628479399994392</v>
      </c>
      <c r="BQ40" s="87">
        <f>'Res. Tank Design'!$D$52</f>
        <v>5.9628479399994392</v>
      </c>
      <c r="BR40" s="87">
        <f>'Res. Tank Design'!$D$52</f>
        <v>5.9628479399994392</v>
      </c>
      <c r="BS40" s="87">
        <f>'Res. Tank Design'!$D$52</f>
        <v>5.9628479399994392</v>
      </c>
      <c r="BT40" s="87">
        <f>'Res. Tank Design'!$D$52</f>
        <v>5.9628479399994392</v>
      </c>
      <c r="BU40" s="87">
        <f>'Res. Tank Design'!$D$52</f>
        <v>5.9628479399994392</v>
      </c>
      <c r="BV40" s="87">
        <f>'Res. Tank Design'!$D$52</f>
        <v>5.9628479399994392</v>
      </c>
      <c r="BW40" s="87">
        <f>'Res. Tank Design'!$D$52</f>
        <v>5.9628479399994392</v>
      </c>
      <c r="BX40" s="87">
        <f>'Res. Tank Design'!$D$52</f>
        <v>5.9628479399994392</v>
      </c>
      <c r="BY40" s="87">
        <f>'Res. Tank Design'!$D$52</f>
        <v>5.9628479399994392</v>
      </c>
      <c r="BZ40" s="87">
        <f>'Res. Tank Design'!$D$52</f>
        <v>5.9628479399994392</v>
      </c>
      <c r="CA40" s="87">
        <f>'Res. Tank Design'!$D$52</f>
        <v>5.9628479399994392</v>
      </c>
      <c r="CB40" s="87">
        <f>'Res. Tank Design'!$D$52</f>
        <v>5.9628479399994392</v>
      </c>
      <c r="CC40" s="87">
        <f>'Res. Tank Design'!$D$52</f>
        <v>5.9628479399994392</v>
      </c>
      <c r="CD40" s="87">
        <f>'Res. Tank Design'!$D$52</f>
        <v>5.9628479399994392</v>
      </c>
      <c r="CE40" s="87">
        <f>'Res. Tank Design'!$D$52</f>
        <v>5.9628479399994392</v>
      </c>
      <c r="CF40" s="87">
        <f>'Res. Tank Design'!$D$52</f>
        <v>5.9628479399994392</v>
      </c>
      <c r="CG40" s="87">
        <f>'Res. Tank Design'!$D$52</f>
        <v>5.9628479399994392</v>
      </c>
      <c r="CH40" s="87"/>
    </row>
    <row r="41" spans="2:89" ht="16.5" customHeight="1">
      <c r="B41" s="10" t="s">
        <v>799</v>
      </c>
      <c r="C41" s="10">
        <f t="shared" ref="C41:AH41" si="55">(C$40/(C$10^2))*((PI()^2)/4)*(C$12*100/C$39)*(((SIN(C33))^2)/(C$5+C$11*C$6)^2)</f>
        <v>0.6363457397960991</v>
      </c>
      <c r="D41" s="10">
        <f t="shared" si="55"/>
        <v>0.6363457397960991</v>
      </c>
      <c r="E41" s="10">
        <f t="shared" si="55"/>
        <v>0.6363457397960991</v>
      </c>
      <c r="F41" s="10">
        <f t="shared" si="55"/>
        <v>0.6363457397960991</v>
      </c>
      <c r="G41" s="10">
        <f t="shared" si="55"/>
        <v>0.6363457397960991</v>
      </c>
      <c r="H41" s="10">
        <f t="shared" si="55"/>
        <v>0.6363457397960991</v>
      </c>
      <c r="I41" s="10">
        <f t="shared" si="55"/>
        <v>0.6363457397960991</v>
      </c>
      <c r="J41" s="10">
        <f t="shared" si="55"/>
        <v>0.6363457397960991</v>
      </c>
      <c r="K41" s="10">
        <f t="shared" si="55"/>
        <v>0.6363457397960991</v>
      </c>
      <c r="L41" s="10">
        <f t="shared" si="55"/>
        <v>0.6363457397960991</v>
      </c>
      <c r="M41" s="10">
        <f t="shared" si="55"/>
        <v>0.6363457397960991</v>
      </c>
      <c r="N41" s="10">
        <f t="shared" si="55"/>
        <v>0.6363457397960991</v>
      </c>
      <c r="O41" s="10">
        <f t="shared" si="55"/>
        <v>0.6363457397960991</v>
      </c>
      <c r="P41" s="10">
        <f t="shared" si="55"/>
        <v>0.6363457397960991</v>
      </c>
      <c r="Q41" s="10">
        <f t="shared" si="55"/>
        <v>0.6363457397960991</v>
      </c>
      <c r="R41" s="10">
        <f t="shared" si="55"/>
        <v>0.6363457397960991</v>
      </c>
      <c r="S41" s="10">
        <f t="shared" si="55"/>
        <v>0.6363457397960991</v>
      </c>
      <c r="T41" s="10">
        <f t="shared" si="55"/>
        <v>0.6363457397960991</v>
      </c>
      <c r="U41" s="10">
        <f t="shared" si="55"/>
        <v>0.6363457397960991</v>
      </c>
      <c r="V41" s="10">
        <f t="shared" si="55"/>
        <v>0.6363457397960991</v>
      </c>
      <c r="W41" s="10">
        <f t="shared" si="55"/>
        <v>0.6363457397960991</v>
      </c>
      <c r="X41" s="10">
        <f t="shared" si="55"/>
        <v>0.6363457397960991</v>
      </c>
      <c r="Y41" s="10">
        <f t="shared" si="55"/>
        <v>0.6363457397960991</v>
      </c>
      <c r="Z41" s="10">
        <f t="shared" si="55"/>
        <v>0.6363457397960991</v>
      </c>
      <c r="AA41" s="10">
        <f t="shared" si="55"/>
        <v>0.6363457397960991</v>
      </c>
      <c r="AB41" s="10">
        <f t="shared" si="55"/>
        <v>0.6363457397960991</v>
      </c>
      <c r="AC41" s="10">
        <f t="shared" si="55"/>
        <v>0.6363457397960991</v>
      </c>
      <c r="AD41" s="10">
        <f t="shared" si="55"/>
        <v>0.6363457397960991</v>
      </c>
      <c r="AE41" s="10">
        <f t="shared" si="55"/>
        <v>0.6363457397960991</v>
      </c>
      <c r="AF41" s="10">
        <f t="shared" si="55"/>
        <v>0.6363457397960991</v>
      </c>
      <c r="AG41" s="10">
        <f t="shared" si="55"/>
        <v>0.6363457397960991</v>
      </c>
      <c r="AH41" s="10">
        <f t="shared" si="55"/>
        <v>0.6363457397960991</v>
      </c>
      <c r="AI41" s="10">
        <f t="shared" ref="AI41:BN41" si="56">(AI$40/(AI$10^2))*((PI()^2)/4)*(AI$12*100/AI$39)*(((SIN(AI33))^2)/(AI$5+AI$11*AI$6)^2)</f>
        <v>0.6363457397960991</v>
      </c>
      <c r="AJ41" s="10">
        <f t="shared" si="56"/>
        <v>0.6363457397960991</v>
      </c>
      <c r="AK41" s="10">
        <f t="shared" si="56"/>
        <v>0.6363457397960991</v>
      </c>
      <c r="AL41" s="10">
        <f t="shared" si="56"/>
        <v>0.6363457397960991</v>
      </c>
      <c r="AM41" s="10">
        <f t="shared" si="56"/>
        <v>0.6363457397960991</v>
      </c>
      <c r="AN41" s="10">
        <f t="shared" si="56"/>
        <v>0.6363457397960991</v>
      </c>
      <c r="AO41" s="10">
        <f t="shared" si="56"/>
        <v>0.6363457397960991</v>
      </c>
      <c r="AP41" s="10">
        <f t="shared" si="56"/>
        <v>0.6363457397960991</v>
      </c>
      <c r="AQ41" s="10">
        <f t="shared" si="56"/>
        <v>0.6363457397960991</v>
      </c>
      <c r="AR41" s="10">
        <f t="shared" si="56"/>
        <v>0.6363457397960991</v>
      </c>
      <c r="AS41" s="10">
        <f t="shared" si="56"/>
        <v>0.6363457397960991</v>
      </c>
      <c r="AT41" s="10">
        <f t="shared" si="56"/>
        <v>0.6363457397960991</v>
      </c>
      <c r="AU41" s="10">
        <f t="shared" si="56"/>
        <v>0.6363457397960991</v>
      </c>
      <c r="AV41" s="10">
        <f t="shared" si="56"/>
        <v>0.6363457397960991</v>
      </c>
      <c r="AW41" s="10">
        <f t="shared" si="56"/>
        <v>0.6363457397960991</v>
      </c>
      <c r="AX41" s="10">
        <f t="shared" si="56"/>
        <v>0.6363457397960991</v>
      </c>
      <c r="AY41" s="10">
        <f t="shared" si="56"/>
        <v>0.6363457397960991</v>
      </c>
      <c r="AZ41" s="10">
        <f t="shared" si="56"/>
        <v>0.6363457397960991</v>
      </c>
      <c r="BA41" s="10">
        <f t="shared" si="56"/>
        <v>0.6363457397960991</v>
      </c>
      <c r="BB41" s="10">
        <f t="shared" si="56"/>
        <v>0.6363457397960991</v>
      </c>
      <c r="BC41" s="10">
        <f t="shared" si="56"/>
        <v>0.6363457397960991</v>
      </c>
      <c r="BD41" s="10">
        <f t="shared" si="56"/>
        <v>0.6363457397960991</v>
      </c>
      <c r="BE41" s="10">
        <f t="shared" si="56"/>
        <v>0.6363457397960991</v>
      </c>
      <c r="BF41" s="10">
        <f t="shared" si="56"/>
        <v>0.6363457397960991</v>
      </c>
      <c r="BG41" s="10">
        <f t="shared" si="56"/>
        <v>0.6363457397960991</v>
      </c>
      <c r="BH41" s="10">
        <f t="shared" si="56"/>
        <v>0.6363457397960991</v>
      </c>
      <c r="BI41" s="10">
        <f t="shared" si="56"/>
        <v>0.6363457397960991</v>
      </c>
      <c r="BJ41" s="10">
        <f t="shared" si="56"/>
        <v>0.6363457397960991</v>
      </c>
      <c r="BK41" s="10">
        <f t="shared" si="56"/>
        <v>0.6363457397960991</v>
      </c>
      <c r="BL41" s="10">
        <f t="shared" si="56"/>
        <v>0.6363457397960991</v>
      </c>
      <c r="BM41" s="10">
        <f t="shared" si="56"/>
        <v>0.6363457397960991</v>
      </c>
      <c r="BN41" s="10">
        <f t="shared" si="56"/>
        <v>0.6363457397960991</v>
      </c>
      <c r="BO41" s="10">
        <f t="shared" ref="BO41:CG41" si="57">(BO$40/(BO$10^2))*((PI()^2)/4)*(BO$12*100/BO$39)*(((SIN(BO33))^2)/(BO$5+BO$11*BO$6)^2)</f>
        <v>0.6363457397960991</v>
      </c>
      <c r="BP41" s="10">
        <f t="shared" si="57"/>
        <v>0.6363457397960991</v>
      </c>
      <c r="BQ41" s="10">
        <f t="shared" si="57"/>
        <v>0.6363457397960991</v>
      </c>
      <c r="BR41" s="10">
        <f t="shared" si="57"/>
        <v>0.6363457397960991</v>
      </c>
      <c r="BS41" s="10">
        <f t="shared" si="57"/>
        <v>0.6363457397960991</v>
      </c>
      <c r="BT41" s="10">
        <f t="shared" si="57"/>
        <v>0.6363457397960991</v>
      </c>
      <c r="BU41" s="10">
        <f t="shared" si="57"/>
        <v>0.6363457397960991</v>
      </c>
      <c r="BV41" s="10">
        <f t="shared" si="57"/>
        <v>0.6363457397960991</v>
      </c>
      <c r="BW41" s="10">
        <f t="shared" si="57"/>
        <v>0.6363457397960991</v>
      </c>
      <c r="BX41" s="10">
        <f t="shared" si="57"/>
        <v>0.6363457397960991</v>
      </c>
      <c r="BY41" s="10">
        <f t="shared" si="57"/>
        <v>0.6363457397960991</v>
      </c>
      <c r="BZ41" s="10">
        <f t="shared" si="57"/>
        <v>0.6363457397960991</v>
      </c>
      <c r="CA41" s="10">
        <f t="shared" si="57"/>
        <v>0.6363457397960991</v>
      </c>
      <c r="CB41" s="10">
        <f t="shared" si="57"/>
        <v>0.6363457397960991</v>
      </c>
      <c r="CC41" s="10">
        <f t="shared" si="57"/>
        <v>0.6363457397960991</v>
      </c>
      <c r="CD41" s="10">
        <f t="shared" si="57"/>
        <v>0.6363457397960991</v>
      </c>
      <c r="CE41" s="10">
        <f t="shared" si="57"/>
        <v>0.6363457397960991</v>
      </c>
      <c r="CF41" s="10">
        <f t="shared" si="57"/>
        <v>0.6363457397960991</v>
      </c>
      <c r="CG41" s="10">
        <f t="shared" si="57"/>
        <v>0.6363457397960991</v>
      </c>
    </row>
    <row r="42" spans="2:89" ht="16.5" customHeight="1">
      <c r="B42" s="10" t="s">
        <v>800</v>
      </c>
      <c r="C42" s="10">
        <f t="shared" ref="C42:AH42" si="58">(C$40/(C$10^2))*((PI()^2)/4)*(C$12*100/C$39)*(((SIN(C34))^2)/(C$5+C$11*C$6)^2)</f>
        <v>0.59371865802476154</v>
      </c>
      <c r="D42" s="10">
        <f t="shared" si="58"/>
        <v>0.59371865802476154</v>
      </c>
      <c r="E42" s="10">
        <f t="shared" si="58"/>
        <v>0.59371865802476154</v>
      </c>
      <c r="F42" s="10">
        <f t="shared" si="58"/>
        <v>0.59371865802476154</v>
      </c>
      <c r="G42" s="10">
        <f t="shared" si="58"/>
        <v>0.59371865802476154</v>
      </c>
      <c r="H42" s="10">
        <f t="shared" si="58"/>
        <v>0.59371865802476154</v>
      </c>
      <c r="I42" s="10">
        <f t="shared" si="58"/>
        <v>0.59371865802476154</v>
      </c>
      <c r="J42" s="10">
        <f t="shared" si="58"/>
        <v>0.59371865802476154</v>
      </c>
      <c r="K42" s="10">
        <f t="shared" si="58"/>
        <v>0.59371865802476154</v>
      </c>
      <c r="L42" s="10">
        <f t="shared" si="58"/>
        <v>0.59371865802476154</v>
      </c>
      <c r="M42" s="10">
        <f t="shared" si="58"/>
        <v>0.59371865802476154</v>
      </c>
      <c r="N42" s="10">
        <f t="shared" si="58"/>
        <v>0.59371865802476154</v>
      </c>
      <c r="O42" s="10">
        <f t="shared" si="58"/>
        <v>0.59371865802476154</v>
      </c>
      <c r="P42" s="10">
        <f t="shared" si="58"/>
        <v>0.59371865802476154</v>
      </c>
      <c r="Q42" s="10">
        <f t="shared" si="58"/>
        <v>0.59371865802476154</v>
      </c>
      <c r="R42" s="10">
        <f t="shared" si="58"/>
        <v>0.59371865802476154</v>
      </c>
      <c r="S42" s="10">
        <f t="shared" si="58"/>
        <v>0.59371865802476154</v>
      </c>
      <c r="T42" s="10">
        <f t="shared" si="58"/>
        <v>0.59371865802476154</v>
      </c>
      <c r="U42" s="10">
        <f t="shared" si="58"/>
        <v>0.59371865802476154</v>
      </c>
      <c r="V42" s="10">
        <f t="shared" si="58"/>
        <v>0.59371865802476154</v>
      </c>
      <c r="W42" s="10">
        <f t="shared" si="58"/>
        <v>0.59371865802476154</v>
      </c>
      <c r="X42" s="10">
        <f t="shared" si="58"/>
        <v>0.59371865802476154</v>
      </c>
      <c r="Y42" s="10">
        <f t="shared" si="58"/>
        <v>0.59371865802476154</v>
      </c>
      <c r="Z42" s="10">
        <f t="shared" si="58"/>
        <v>0.59371865802476154</v>
      </c>
      <c r="AA42" s="10">
        <f t="shared" si="58"/>
        <v>0.59371865802476154</v>
      </c>
      <c r="AB42" s="10">
        <f t="shared" si="58"/>
        <v>0.59371865802476154</v>
      </c>
      <c r="AC42" s="10">
        <f t="shared" si="58"/>
        <v>0.59371865802476154</v>
      </c>
      <c r="AD42" s="10">
        <f t="shared" si="58"/>
        <v>0.59371865802476154</v>
      </c>
      <c r="AE42" s="10">
        <f t="shared" si="58"/>
        <v>0.59371865802476154</v>
      </c>
      <c r="AF42" s="10">
        <f t="shared" si="58"/>
        <v>0.59371865802476154</v>
      </c>
      <c r="AG42" s="10">
        <f t="shared" si="58"/>
        <v>0.59371865802476154</v>
      </c>
      <c r="AH42" s="10">
        <f t="shared" si="58"/>
        <v>0.59371865802476154</v>
      </c>
      <c r="AI42" s="10">
        <f t="shared" ref="AI42:BN42" si="59">(AI$40/(AI$10^2))*((PI()^2)/4)*(AI$12*100/AI$39)*(((SIN(AI34))^2)/(AI$5+AI$11*AI$6)^2)</f>
        <v>0.59371865802476154</v>
      </c>
      <c r="AJ42" s="10">
        <f t="shared" si="59"/>
        <v>0.59371865802476154</v>
      </c>
      <c r="AK42" s="10">
        <f t="shared" si="59"/>
        <v>0.59371865802476154</v>
      </c>
      <c r="AL42" s="10">
        <f t="shared" si="59"/>
        <v>0.59371865802476154</v>
      </c>
      <c r="AM42" s="10">
        <f t="shared" si="59"/>
        <v>0.59371865802476154</v>
      </c>
      <c r="AN42" s="10">
        <f t="shared" si="59"/>
        <v>0.59371865802476154</v>
      </c>
      <c r="AO42" s="10">
        <f t="shared" si="59"/>
        <v>0.59371865802476154</v>
      </c>
      <c r="AP42" s="10">
        <f t="shared" si="59"/>
        <v>0.59371865802476154</v>
      </c>
      <c r="AQ42" s="10">
        <f t="shared" si="59"/>
        <v>0.59371865802476154</v>
      </c>
      <c r="AR42" s="10">
        <f t="shared" si="59"/>
        <v>0.59371865802476154</v>
      </c>
      <c r="AS42" s="10">
        <f t="shared" si="59"/>
        <v>0.59371865802476154</v>
      </c>
      <c r="AT42" s="10">
        <f t="shared" si="59"/>
        <v>0.59371865802476154</v>
      </c>
      <c r="AU42" s="10">
        <f t="shared" si="59"/>
        <v>0.59371865802476154</v>
      </c>
      <c r="AV42" s="10">
        <f t="shared" si="59"/>
        <v>0.59371865802476154</v>
      </c>
      <c r="AW42" s="10">
        <f t="shared" si="59"/>
        <v>0.59371865802476154</v>
      </c>
      <c r="AX42" s="10">
        <f t="shared" si="59"/>
        <v>0.59371865802476154</v>
      </c>
      <c r="AY42" s="10">
        <f t="shared" si="59"/>
        <v>0.59371865802476154</v>
      </c>
      <c r="AZ42" s="10">
        <f t="shared" si="59"/>
        <v>0.59371865802476154</v>
      </c>
      <c r="BA42" s="10">
        <f t="shared" si="59"/>
        <v>0.59371865802476154</v>
      </c>
      <c r="BB42" s="10">
        <f t="shared" si="59"/>
        <v>0.59371865802476154</v>
      </c>
      <c r="BC42" s="10">
        <f t="shared" si="59"/>
        <v>0.59371865802476154</v>
      </c>
      <c r="BD42" s="10">
        <f t="shared" si="59"/>
        <v>0.59371865802476154</v>
      </c>
      <c r="BE42" s="10">
        <f t="shared" si="59"/>
        <v>0.59371865802476154</v>
      </c>
      <c r="BF42" s="10">
        <f t="shared" si="59"/>
        <v>0.59371865802476154</v>
      </c>
      <c r="BG42" s="10">
        <f t="shared" si="59"/>
        <v>0.59371865802476154</v>
      </c>
      <c r="BH42" s="10">
        <f t="shared" si="59"/>
        <v>0.59371865802476154</v>
      </c>
      <c r="BI42" s="10">
        <f t="shared" si="59"/>
        <v>0.59371865802476154</v>
      </c>
      <c r="BJ42" s="10">
        <f t="shared" si="59"/>
        <v>0.59371865802476154</v>
      </c>
      <c r="BK42" s="10">
        <f t="shared" si="59"/>
        <v>0.59371865802476154</v>
      </c>
      <c r="BL42" s="10">
        <f t="shared" si="59"/>
        <v>0.59371865802476154</v>
      </c>
      <c r="BM42" s="10">
        <f t="shared" si="59"/>
        <v>0.59371865802476154</v>
      </c>
      <c r="BN42" s="10">
        <f t="shared" si="59"/>
        <v>0.59371865802476154</v>
      </c>
      <c r="BO42" s="10">
        <f t="shared" ref="BO42:CG42" si="60">(BO$40/(BO$10^2))*((PI()^2)/4)*(BO$12*100/BO$39)*(((SIN(BO34))^2)/(BO$5+BO$11*BO$6)^2)</f>
        <v>0.59371865802476154</v>
      </c>
      <c r="BP42" s="10">
        <f t="shared" si="60"/>
        <v>0.59371865802476154</v>
      </c>
      <c r="BQ42" s="10">
        <f t="shared" si="60"/>
        <v>0.59371865802476154</v>
      </c>
      <c r="BR42" s="10">
        <f t="shared" si="60"/>
        <v>0.59371865802476154</v>
      </c>
      <c r="BS42" s="10">
        <f t="shared" si="60"/>
        <v>0.59371865802476154</v>
      </c>
      <c r="BT42" s="10">
        <f t="shared" si="60"/>
        <v>0.59371865802476154</v>
      </c>
      <c r="BU42" s="10">
        <f t="shared" si="60"/>
        <v>0.59371865802476154</v>
      </c>
      <c r="BV42" s="10">
        <f t="shared" si="60"/>
        <v>0.59371865802476154</v>
      </c>
      <c r="BW42" s="10">
        <f t="shared" si="60"/>
        <v>0.59371865802476154</v>
      </c>
      <c r="BX42" s="10">
        <f t="shared" si="60"/>
        <v>0.59371865802476154</v>
      </c>
      <c r="BY42" s="10">
        <f t="shared" si="60"/>
        <v>0.59371865802476154</v>
      </c>
      <c r="BZ42" s="10">
        <f t="shared" si="60"/>
        <v>0.59371865802476154</v>
      </c>
      <c r="CA42" s="10">
        <f t="shared" si="60"/>
        <v>0.59371865802476154</v>
      </c>
      <c r="CB42" s="10">
        <f t="shared" si="60"/>
        <v>0.59371865802476154</v>
      </c>
      <c r="CC42" s="10">
        <f t="shared" si="60"/>
        <v>0.59371865802476154</v>
      </c>
      <c r="CD42" s="10">
        <f t="shared" si="60"/>
        <v>0.59371865802476154</v>
      </c>
      <c r="CE42" s="10">
        <f t="shared" si="60"/>
        <v>0.59371865802476154</v>
      </c>
      <c r="CF42" s="10">
        <f t="shared" si="60"/>
        <v>0.59371865802476154</v>
      </c>
      <c r="CG42" s="10">
        <f t="shared" si="60"/>
        <v>0.59371865802476154</v>
      </c>
    </row>
    <row r="43" spans="2:89" ht="16.5" customHeight="1">
      <c r="B43" s="10" t="s">
        <v>801</v>
      </c>
      <c r="C43" s="10">
        <f t="shared" ref="C43:AH43" si="61">(C$40/(C$10^2))*((PI()^2)/4)*(C$12*100/C$39)*(((SIN(C35))^2)/(C$5+C$11*C$6)^2)</f>
        <v>0.47725930484707424</v>
      </c>
      <c r="D43" s="10">
        <f t="shared" si="61"/>
        <v>0.47725930484707424</v>
      </c>
      <c r="E43" s="10">
        <f t="shared" si="61"/>
        <v>0.47725930484707424</v>
      </c>
      <c r="F43" s="10">
        <f t="shared" si="61"/>
        <v>0.47725930484707424</v>
      </c>
      <c r="G43" s="10">
        <f t="shared" si="61"/>
        <v>0.47725930484707424</v>
      </c>
      <c r="H43" s="10">
        <f t="shared" si="61"/>
        <v>0.47725930484707424</v>
      </c>
      <c r="I43" s="10">
        <f t="shared" si="61"/>
        <v>0.47725930484707424</v>
      </c>
      <c r="J43" s="10">
        <f t="shared" si="61"/>
        <v>0.47725930484707424</v>
      </c>
      <c r="K43" s="10">
        <f t="shared" si="61"/>
        <v>0.47725930484707424</v>
      </c>
      <c r="L43" s="10">
        <f t="shared" si="61"/>
        <v>0.47725930484707424</v>
      </c>
      <c r="M43" s="10">
        <f t="shared" si="61"/>
        <v>0.47725930484707424</v>
      </c>
      <c r="N43" s="10">
        <f t="shared" si="61"/>
        <v>0.47725930484707424</v>
      </c>
      <c r="O43" s="10">
        <f t="shared" si="61"/>
        <v>0.47725930484707424</v>
      </c>
      <c r="P43" s="10">
        <f t="shared" si="61"/>
        <v>0.47725930484707424</v>
      </c>
      <c r="Q43" s="10">
        <f t="shared" si="61"/>
        <v>0.47725930484707424</v>
      </c>
      <c r="R43" s="10">
        <f t="shared" si="61"/>
        <v>0.47725930484707424</v>
      </c>
      <c r="S43" s="10">
        <f t="shared" si="61"/>
        <v>0.47725930484707424</v>
      </c>
      <c r="T43" s="10">
        <f t="shared" si="61"/>
        <v>0.47725930484707424</v>
      </c>
      <c r="U43" s="10">
        <f t="shared" si="61"/>
        <v>0.47725930484707424</v>
      </c>
      <c r="V43" s="10">
        <f t="shared" si="61"/>
        <v>0.47725930484707424</v>
      </c>
      <c r="W43" s="10">
        <f t="shared" si="61"/>
        <v>0.47725930484707424</v>
      </c>
      <c r="X43" s="10">
        <f t="shared" si="61"/>
        <v>0.47725930484707424</v>
      </c>
      <c r="Y43" s="10">
        <f t="shared" si="61"/>
        <v>0.47725930484707424</v>
      </c>
      <c r="Z43" s="10">
        <f t="shared" si="61"/>
        <v>0.47725930484707424</v>
      </c>
      <c r="AA43" s="10">
        <f t="shared" si="61"/>
        <v>0.47725930484707424</v>
      </c>
      <c r="AB43" s="10">
        <f t="shared" si="61"/>
        <v>0.47725930484707424</v>
      </c>
      <c r="AC43" s="10">
        <f t="shared" si="61"/>
        <v>0.47725930484707424</v>
      </c>
      <c r="AD43" s="10">
        <f t="shared" si="61"/>
        <v>0.47725930484707424</v>
      </c>
      <c r="AE43" s="10">
        <f t="shared" si="61"/>
        <v>0.47725930484707424</v>
      </c>
      <c r="AF43" s="10">
        <f t="shared" si="61"/>
        <v>0.47725930484707424</v>
      </c>
      <c r="AG43" s="10">
        <f t="shared" si="61"/>
        <v>0.47725930484707424</v>
      </c>
      <c r="AH43" s="10">
        <f t="shared" si="61"/>
        <v>0.47725930484707424</v>
      </c>
      <c r="AI43" s="10">
        <f t="shared" ref="AI43:BN43" si="62">(AI$40/(AI$10^2))*((PI()^2)/4)*(AI$12*100/AI$39)*(((SIN(AI35))^2)/(AI$5+AI$11*AI$6)^2)</f>
        <v>0.47725930484707424</v>
      </c>
      <c r="AJ43" s="10">
        <f t="shared" si="62"/>
        <v>0.47725930484707424</v>
      </c>
      <c r="AK43" s="10">
        <f t="shared" si="62"/>
        <v>0.47725930484707424</v>
      </c>
      <c r="AL43" s="10">
        <f t="shared" si="62"/>
        <v>0.47725930484707424</v>
      </c>
      <c r="AM43" s="10">
        <f t="shared" si="62"/>
        <v>0.47725930484707424</v>
      </c>
      <c r="AN43" s="10">
        <f t="shared" si="62"/>
        <v>0.47725930484707424</v>
      </c>
      <c r="AO43" s="10">
        <f t="shared" si="62"/>
        <v>0.47725930484707424</v>
      </c>
      <c r="AP43" s="10">
        <f t="shared" si="62"/>
        <v>0.47725930484707424</v>
      </c>
      <c r="AQ43" s="10">
        <f t="shared" si="62"/>
        <v>0.47725930484707424</v>
      </c>
      <c r="AR43" s="10">
        <f t="shared" si="62"/>
        <v>0.47725930484707424</v>
      </c>
      <c r="AS43" s="10">
        <f t="shared" si="62"/>
        <v>0.47725930484707424</v>
      </c>
      <c r="AT43" s="10">
        <f t="shared" si="62"/>
        <v>0.47725930484707424</v>
      </c>
      <c r="AU43" s="10">
        <f t="shared" si="62"/>
        <v>0.47725930484707424</v>
      </c>
      <c r="AV43" s="10">
        <f t="shared" si="62"/>
        <v>0.47725930484707424</v>
      </c>
      <c r="AW43" s="10">
        <f t="shared" si="62"/>
        <v>0.47725930484707424</v>
      </c>
      <c r="AX43" s="10">
        <f t="shared" si="62"/>
        <v>0.47725930484707424</v>
      </c>
      <c r="AY43" s="10">
        <f t="shared" si="62"/>
        <v>0.47725930484707424</v>
      </c>
      <c r="AZ43" s="10">
        <f t="shared" si="62"/>
        <v>0.47725930484707424</v>
      </c>
      <c r="BA43" s="10">
        <f t="shared" si="62"/>
        <v>0.47725930484707424</v>
      </c>
      <c r="BB43" s="10">
        <f t="shared" si="62"/>
        <v>0.47725930484707424</v>
      </c>
      <c r="BC43" s="10">
        <f t="shared" si="62"/>
        <v>0.47725930484707424</v>
      </c>
      <c r="BD43" s="10">
        <f t="shared" si="62"/>
        <v>0.47725930484707424</v>
      </c>
      <c r="BE43" s="10">
        <f t="shared" si="62"/>
        <v>0.47725930484707424</v>
      </c>
      <c r="BF43" s="10">
        <f t="shared" si="62"/>
        <v>0.47725930484707424</v>
      </c>
      <c r="BG43" s="10">
        <f t="shared" si="62"/>
        <v>0.47725930484707424</v>
      </c>
      <c r="BH43" s="10">
        <f t="shared" si="62"/>
        <v>0.47725930484707424</v>
      </c>
      <c r="BI43" s="10">
        <f t="shared" si="62"/>
        <v>0.47725930484707424</v>
      </c>
      <c r="BJ43" s="10">
        <f t="shared" si="62"/>
        <v>0.47725930484707424</v>
      </c>
      <c r="BK43" s="10">
        <f t="shared" si="62"/>
        <v>0.47725930484707424</v>
      </c>
      <c r="BL43" s="10">
        <f t="shared" si="62"/>
        <v>0.47725930484707424</v>
      </c>
      <c r="BM43" s="10">
        <f t="shared" si="62"/>
        <v>0.47725930484707424</v>
      </c>
      <c r="BN43" s="10">
        <f t="shared" si="62"/>
        <v>0.47725930484707424</v>
      </c>
      <c r="BO43" s="10">
        <f t="shared" ref="BO43:CG43" si="63">(BO$40/(BO$10^2))*((PI()^2)/4)*(BO$12*100/BO$39)*(((SIN(BO35))^2)/(BO$5+BO$11*BO$6)^2)</f>
        <v>0.47725930484707424</v>
      </c>
      <c r="BP43" s="10">
        <f t="shared" si="63"/>
        <v>0.47725930484707424</v>
      </c>
      <c r="BQ43" s="10">
        <f t="shared" si="63"/>
        <v>0.47725930484707424</v>
      </c>
      <c r="BR43" s="10">
        <f t="shared" si="63"/>
        <v>0.47725930484707424</v>
      </c>
      <c r="BS43" s="10">
        <f t="shared" si="63"/>
        <v>0.47725930484707424</v>
      </c>
      <c r="BT43" s="10">
        <f t="shared" si="63"/>
        <v>0.47725930484707424</v>
      </c>
      <c r="BU43" s="10">
        <f t="shared" si="63"/>
        <v>0.47725930484707424</v>
      </c>
      <c r="BV43" s="10">
        <f t="shared" si="63"/>
        <v>0.47725930484707424</v>
      </c>
      <c r="BW43" s="10">
        <f t="shared" si="63"/>
        <v>0.47725930484707424</v>
      </c>
      <c r="BX43" s="10">
        <f t="shared" si="63"/>
        <v>0.47725930484707424</v>
      </c>
      <c r="BY43" s="10">
        <f t="shared" si="63"/>
        <v>0.47725930484707424</v>
      </c>
      <c r="BZ43" s="10">
        <f t="shared" si="63"/>
        <v>0.47725930484707424</v>
      </c>
      <c r="CA43" s="10">
        <f t="shared" si="63"/>
        <v>0.47725930484707424</v>
      </c>
      <c r="CB43" s="10">
        <f t="shared" si="63"/>
        <v>0.47725930484707424</v>
      </c>
      <c r="CC43" s="10">
        <f t="shared" si="63"/>
        <v>0.47725930484707424</v>
      </c>
      <c r="CD43" s="10">
        <f t="shared" si="63"/>
        <v>0.47725930484707424</v>
      </c>
      <c r="CE43" s="10">
        <f t="shared" si="63"/>
        <v>0.47725930484707424</v>
      </c>
      <c r="CF43" s="10">
        <f t="shared" si="63"/>
        <v>0.47725930484707424</v>
      </c>
      <c r="CG43" s="10">
        <f t="shared" si="63"/>
        <v>0.47725930484707424</v>
      </c>
    </row>
    <row r="44" spans="2:89" ht="16.5" customHeight="1">
      <c r="B44" s="10" t="s">
        <v>802</v>
      </c>
      <c r="C44" s="10">
        <f t="shared" ref="C44:AH44" si="64">(C$40/(C$10^2))*((PI()^2)/4)*(C$12*100/C$39)*(((SIN(C36))^2)/(C$5+C$11*C$6)^2)</f>
        <v>0.31817286989804944</v>
      </c>
      <c r="D44" s="10">
        <f t="shared" si="64"/>
        <v>0.31817286989804944</v>
      </c>
      <c r="E44" s="10">
        <f t="shared" si="64"/>
        <v>0.31817286989804944</v>
      </c>
      <c r="F44" s="10">
        <f t="shared" si="64"/>
        <v>0.31817286989804944</v>
      </c>
      <c r="G44" s="10">
        <f t="shared" si="64"/>
        <v>0.31817286989804944</v>
      </c>
      <c r="H44" s="10">
        <f t="shared" si="64"/>
        <v>0.31817286989804944</v>
      </c>
      <c r="I44" s="10">
        <f t="shared" si="64"/>
        <v>0.31817286989804944</v>
      </c>
      <c r="J44" s="10">
        <f t="shared" si="64"/>
        <v>0.31817286989804944</v>
      </c>
      <c r="K44" s="10">
        <f t="shared" si="64"/>
        <v>0.31817286989804944</v>
      </c>
      <c r="L44" s="10">
        <f t="shared" si="64"/>
        <v>0.31817286989804944</v>
      </c>
      <c r="M44" s="10">
        <f t="shared" si="64"/>
        <v>0.31817286989804944</v>
      </c>
      <c r="N44" s="10">
        <f t="shared" si="64"/>
        <v>0.31817286989804944</v>
      </c>
      <c r="O44" s="10">
        <f t="shared" si="64"/>
        <v>0.31817286989804944</v>
      </c>
      <c r="P44" s="10">
        <f t="shared" si="64"/>
        <v>0.31817286989804944</v>
      </c>
      <c r="Q44" s="10">
        <f t="shared" si="64"/>
        <v>0.31817286989804944</v>
      </c>
      <c r="R44" s="10">
        <f t="shared" si="64"/>
        <v>0.31817286989804944</v>
      </c>
      <c r="S44" s="10">
        <f t="shared" si="64"/>
        <v>0.31817286989804944</v>
      </c>
      <c r="T44" s="10">
        <f t="shared" si="64"/>
        <v>0.31817286989804944</v>
      </c>
      <c r="U44" s="10">
        <f t="shared" si="64"/>
        <v>0.31817286989804944</v>
      </c>
      <c r="V44" s="10">
        <f t="shared" si="64"/>
        <v>0.31817286989804944</v>
      </c>
      <c r="W44" s="10">
        <f t="shared" si="64"/>
        <v>0.31817286989804944</v>
      </c>
      <c r="X44" s="10">
        <f t="shared" si="64"/>
        <v>0.31817286989804944</v>
      </c>
      <c r="Y44" s="10">
        <f t="shared" si="64"/>
        <v>0.31817286989804944</v>
      </c>
      <c r="Z44" s="10">
        <f t="shared" si="64"/>
        <v>0.31817286989804944</v>
      </c>
      <c r="AA44" s="10">
        <f t="shared" si="64"/>
        <v>0.31817286989804944</v>
      </c>
      <c r="AB44" s="10">
        <f t="shared" si="64"/>
        <v>0.31817286989804944</v>
      </c>
      <c r="AC44" s="10">
        <f t="shared" si="64"/>
        <v>0.31817286989804944</v>
      </c>
      <c r="AD44" s="10">
        <f t="shared" si="64"/>
        <v>0.31817286989804944</v>
      </c>
      <c r="AE44" s="10">
        <f t="shared" si="64"/>
        <v>0.31817286989804944</v>
      </c>
      <c r="AF44" s="10">
        <f t="shared" si="64"/>
        <v>0.31817286989804944</v>
      </c>
      <c r="AG44" s="10">
        <f t="shared" si="64"/>
        <v>0.31817286989804944</v>
      </c>
      <c r="AH44" s="10">
        <f t="shared" si="64"/>
        <v>0.31817286989804944</v>
      </c>
      <c r="AI44" s="10">
        <f t="shared" ref="AI44:BN44" si="65">(AI$40/(AI$10^2))*((PI()^2)/4)*(AI$12*100/AI$39)*(((SIN(AI36))^2)/(AI$5+AI$11*AI$6)^2)</f>
        <v>0.31817286989804944</v>
      </c>
      <c r="AJ44" s="10">
        <f t="shared" si="65"/>
        <v>0.31817286989804944</v>
      </c>
      <c r="AK44" s="10">
        <f t="shared" si="65"/>
        <v>0.31817286989804944</v>
      </c>
      <c r="AL44" s="10">
        <f t="shared" si="65"/>
        <v>0.31817286989804944</v>
      </c>
      <c r="AM44" s="10">
        <f t="shared" si="65"/>
        <v>0.31817286989804944</v>
      </c>
      <c r="AN44" s="10">
        <f t="shared" si="65"/>
        <v>0.31817286989804944</v>
      </c>
      <c r="AO44" s="10">
        <f t="shared" si="65"/>
        <v>0.31817286989804944</v>
      </c>
      <c r="AP44" s="10">
        <f t="shared" si="65"/>
        <v>0.31817286989804944</v>
      </c>
      <c r="AQ44" s="10">
        <f t="shared" si="65"/>
        <v>0.31817286989804944</v>
      </c>
      <c r="AR44" s="10">
        <f t="shared" si="65"/>
        <v>0.31817286989804944</v>
      </c>
      <c r="AS44" s="10">
        <f t="shared" si="65"/>
        <v>0.31817286989804944</v>
      </c>
      <c r="AT44" s="10">
        <f t="shared" si="65"/>
        <v>0.31817286989804944</v>
      </c>
      <c r="AU44" s="10">
        <f t="shared" si="65"/>
        <v>0.31817286989804944</v>
      </c>
      <c r="AV44" s="10">
        <f t="shared" si="65"/>
        <v>0.31817286989804944</v>
      </c>
      <c r="AW44" s="10">
        <f t="shared" si="65"/>
        <v>0.31817286989804944</v>
      </c>
      <c r="AX44" s="10">
        <f t="shared" si="65"/>
        <v>0.31817286989804944</v>
      </c>
      <c r="AY44" s="10">
        <f t="shared" si="65"/>
        <v>0.31817286989804944</v>
      </c>
      <c r="AZ44" s="10">
        <f t="shared" si="65"/>
        <v>0.31817286989804944</v>
      </c>
      <c r="BA44" s="10">
        <f t="shared" si="65"/>
        <v>0.31817286989804944</v>
      </c>
      <c r="BB44" s="10">
        <f t="shared" si="65"/>
        <v>0.31817286989804944</v>
      </c>
      <c r="BC44" s="10">
        <f t="shared" si="65"/>
        <v>0.31817286989804944</v>
      </c>
      <c r="BD44" s="10">
        <f t="shared" si="65"/>
        <v>0.31817286989804944</v>
      </c>
      <c r="BE44" s="10">
        <f t="shared" si="65"/>
        <v>0.31817286989804944</v>
      </c>
      <c r="BF44" s="10">
        <f t="shared" si="65"/>
        <v>0.31817286989804944</v>
      </c>
      <c r="BG44" s="10">
        <f t="shared" si="65"/>
        <v>0.31817286989804944</v>
      </c>
      <c r="BH44" s="10">
        <f t="shared" si="65"/>
        <v>0.31817286989804944</v>
      </c>
      <c r="BI44" s="10">
        <f t="shared" si="65"/>
        <v>0.31817286989804944</v>
      </c>
      <c r="BJ44" s="10">
        <f t="shared" si="65"/>
        <v>0.31817286989804944</v>
      </c>
      <c r="BK44" s="10">
        <f t="shared" si="65"/>
        <v>0.31817286989804944</v>
      </c>
      <c r="BL44" s="10">
        <f t="shared" si="65"/>
        <v>0.31817286989804944</v>
      </c>
      <c r="BM44" s="10">
        <f t="shared" si="65"/>
        <v>0.31817286989804944</v>
      </c>
      <c r="BN44" s="10">
        <f t="shared" si="65"/>
        <v>0.31817286989804944</v>
      </c>
      <c r="BO44" s="10">
        <f t="shared" ref="BO44:CG44" si="66">(BO$40/(BO$10^2))*((PI()^2)/4)*(BO$12*100/BO$39)*(((SIN(BO36))^2)/(BO$5+BO$11*BO$6)^2)</f>
        <v>0.31817286989804944</v>
      </c>
      <c r="BP44" s="10">
        <f t="shared" si="66"/>
        <v>0.31817286989804944</v>
      </c>
      <c r="BQ44" s="10">
        <f t="shared" si="66"/>
        <v>0.31817286989804944</v>
      </c>
      <c r="BR44" s="10">
        <f t="shared" si="66"/>
        <v>0.31817286989804944</v>
      </c>
      <c r="BS44" s="10">
        <f t="shared" si="66"/>
        <v>0.31817286989804944</v>
      </c>
      <c r="BT44" s="10">
        <f t="shared" si="66"/>
        <v>0.31817286989804944</v>
      </c>
      <c r="BU44" s="10">
        <f t="shared" si="66"/>
        <v>0.31817286989804944</v>
      </c>
      <c r="BV44" s="10">
        <f t="shared" si="66"/>
        <v>0.31817286989804944</v>
      </c>
      <c r="BW44" s="10">
        <f t="shared" si="66"/>
        <v>0.31817286989804944</v>
      </c>
      <c r="BX44" s="10">
        <f t="shared" si="66"/>
        <v>0.31817286989804944</v>
      </c>
      <c r="BY44" s="10">
        <f t="shared" si="66"/>
        <v>0.31817286989804944</v>
      </c>
      <c r="BZ44" s="10">
        <f t="shared" si="66"/>
        <v>0.31817286989804944</v>
      </c>
      <c r="CA44" s="10">
        <f t="shared" si="66"/>
        <v>0.31817286989804944</v>
      </c>
      <c r="CB44" s="10">
        <f t="shared" si="66"/>
        <v>0.31817286989804944</v>
      </c>
      <c r="CC44" s="10">
        <f t="shared" si="66"/>
        <v>0.31817286989804944</v>
      </c>
      <c r="CD44" s="10">
        <f t="shared" si="66"/>
        <v>0.31817286989804944</v>
      </c>
      <c r="CE44" s="10">
        <f t="shared" si="66"/>
        <v>0.31817286989804944</v>
      </c>
      <c r="CF44" s="10">
        <f t="shared" si="66"/>
        <v>0.31817286989804944</v>
      </c>
      <c r="CG44" s="10">
        <f t="shared" si="66"/>
        <v>0.31817286989804944</v>
      </c>
    </row>
    <row r="45" spans="2:89" ht="16.5" customHeight="1">
      <c r="B45" s="10" t="s">
        <v>803</v>
      </c>
      <c r="C45" s="10">
        <f t="shared" ref="C45:AH45" si="67">(C$40/(C$10^2))*((PI()^2)/4)*(C$12*100/C$39)*(((SIN(C37))^2)/(C$5+C$11*C$6)^2)</f>
        <v>0.15908643494902472</v>
      </c>
      <c r="D45" s="10">
        <f t="shared" si="67"/>
        <v>0.15908643494902472</v>
      </c>
      <c r="E45" s="10">
        <f t="shared" si="67"/>
        <v>0.15908643494902472</v>
      </c>
      <c r="F45" s="10">
        <f t="shared" si="67"/>
        <v>0.15908643494902472</v>
      </c>
      <c r="G45" s="10">
        <f t="shared" si="67"/>
        <v>0.15908643494902472</v>
      </c>
      <c r="H45" s="10">
        <f t="shared" si="67"/>
        <v>0.15908643494902472</v>
      </c>
      <c r="I45" s="10">
        <f t="shared" si="67"/>
        <v>0.15908643494902472</v>
      </c>
      <c r="J45" s="10">
        <f t="shared" si="67"/>
        <v>0.15908643494902472</v>
      </c>
      <c r="K45" s="10">
        <f t="shared" si="67"/>
        <v>0.15908643494902472</v>
      </c>
      <c r="L45" s="10">
        <f t="shared" si="67"/>
        <v>0.15908643494902472</v>
      </c>
      <c r="M45" s="10">
        <f t="shared" si="67"/>
        <v>0.15908643494902472</v>
      </c>
      <c r="N45" s="10">
        <f t="shared" si="67"/>
        <v>0.15908643494902472</v>
      </c>
      <c r="O45" s="10">
        <f t="shared" si="67"/>
        <v>0.15908643494902472</v>
      </c>
      <c r="P45" s="10">
        <f t="shared" si="67"/>
        <v>0.15908643494902472</v>
      </c>
      <c r="Q45" s="10">
        <f t="shared" si="67"/>
        <v>0.15908643494902472</v>
      </c>
      <c r="R45" s="10">
        <f t="shared" si="67"/>
        <v>0.15908643494902472</v>
      </c>
      <c r="S45" s="10">
        <f t="shared" si="67"/>
        <v>0.15908643494902472</v>
      </c>
      <c r="T45" s="10">
        <f t="shared" si="67"/>
        <v>0.15908643494902472</v>
      </c>
      <c r="U45" s="10">
        <f t="shared" si="67"/>
        <v>0.15908643494902472</v>
      </c>
      <c r="V45" s="10">
        <f t="shared" si="67"/>
        <v>0.15908643494902472</v>
      </c>
      <c r="W45" s="10">
        <f t="shared" si="67"/>
        <v>0.15908643494902472</v>
      </c>
      <c r="X45" s="10">
        <f t="shared" si="67"/>
        <v>0.15908643494902472</v>
      </c>
      <c r="Y45" s="10">
        <f t="shared" si="67"/>
        <v>0.15908643494902472</v>
      </c>
      <c r="Z45" s="10">
        <f t="shared" si="67"/>
        <v>0.15908643494902472</v>
      </c>
      <c r="AA45" s="10">
        <f t="shared" si="67"/>
        <v>0.15908643494902472</v>
      </c>
      <c r="AB45" s="10">
        <f t="shared" si="67"/>
        <v>0.15908643494902472</v>
      </c>
      <c r="AC45" s="10">
        <f t="shared" si="67"/>
        <v>0.15908643494902472</v>
      </c>
      <c r="AD45" s="10">
        <f t="shared" si="67"/>
        <v>0.15908643494902472</v>
      </c>
      <c r="AE45" s="10">
        <f t="shared" si="67"/>
        <v>0.15908643494902472</v>
      </c>
      <c r="AF45" s="10">
        <f t="shared" si="67"/>
        <v>0.15908643494902472</v>
      </c>
      <c r="AG45" s="10">
        <f t="shared" si="67"/>
        <v>0.15908643494902472</v>
      </c>
      <c r="AH45" s="10">
        <f t="shared" si="67"/>
        <v>0.15908643494902472</v>
      </c>
      <c r="AI45" s="10">
        <f t="shared" ref="AI45:BN45" si="68">(AI$40/(AI$10^2))*((PI()^2)/4)*(AI$12*100/AI$39)*(((SIN(AI37))^2)/(AI$5+AI$11*AI$6)^2)</f>
        <v>0.15908643494902472</v>
      </c>
      <c r="AJ45" s="10">
        <f t="shared" si="68"/>
        <v>0.15908643494902472</v>
      </c>
      <c r="AK45" s="10">
        <f t="shared" si="68"/>
        <v>0.15908643494902472</v>
      </c>
      <c r="AL45" s="10">
        <f t="shared" si="68"/>
        <v>0.15908643494902472</v>
      </c>
      <c r="AM45" s="10">
        <f t="shared" si="68"/>
        <v>0.15908643494902472</v>
      </c>
      <c r="AN45" s="10">
        <f t="shared" si="68"/>
        <v>0.15908643494902472</v>
      </c>
      <c r="AO45" s="10">
        <f t="shared" si="68"/>
        <v>0.15908643494902472</v>
      </c>
      <c r="AP45" s="10">
        <f t="shared" si="68"/>
        <v>0.15908643494902472</v>
      </c>
      <c r="AQ45" s="10">
        <f t="shared" si="68"/>
        <v>0.15908643494902472</v>
      </c>
      <c r="AR45" s="10">
        <f t="shared" si="68"/>
        <v>0.15908643494902472</v>
      </c>
      <c r="AS45" s="10">
        <f t="shared" si="68"/>
        <v>0.15908643494902472</v>
      </c>
      <c r="AT45" s="10">
        <f t="shared" si="68"/>
        <v>0.15908643494902472</v>
      </c>
      <c r="AU45" s="10">
        <f t="shared" si="68"/>
        <v>0.15908643494902472</v>
      </c>
      <c r="AV45" s="10">
        <f t="shared" si="68"/>
        <v>0.15908643494902472</v>
      </c>
      <c r="AW45" s="10">
        <f t="shared" si="68"/>
        <v>0.15908643494902472</v>
      </c>
      <c r="AX45" s="10">
        <f t="shared" si="68"/>
        <v>0.15908643494902472</v>
      </c>
      <c r="AY45" s="10">
        <f t="shared" si="68"/>
        <v>0.15908643494902472</v>
      </c>
      <c r="AZ45" s="10">
        <f t="shared" si="68"/>
        <v>0.15908643494902472</v>
      </c>
      <c r="BA45" s="10">
        <f t="shared" si="68"/>
        <v>0.15908643494902472</v>
      </c>
      <c r="BB45" s="10">
        <f t="shared" si="68"/>
        <v>0.15908643494902472</v>
      </c>
      <c r="BC45" s="10">
        <f t="shared" si="68"/>
        <v>0.15908643494902472</v>
      </c>
      <c r="BD45" s="10">
        <f t="shared" si="68"/>
        <v>0.15908643494902472</v>
      </c>
      <c r="BE45" s="10">
        <f t="shared" si="68"/>
        <v>0.15908643494902472</v>
      </c>
      <c r="BF45" s="10">
        <f t="shared" si="68"/>
        <v>0.15908643494902472</v>
      </c>
      <c r="BG45" s="10">
        <f t="shared" si="68"/>
        <v>0.15908643494902472</v>
      </c>
      <c r="BH45" s="10">
        <f t="shared" si="68"/>
        <v>0.15908643494902472</v>
      </c>
      <c r="BI45" s="10">
        <f t="shared" si="68"/>
        <v>0.15908643494902472</v>
      </c>
      <c r="BJ45" s="10">
        <f t="shared" si="68"/>
        <v>0.15908643494902472</v>
      </c>
      <c r="BK45" s="10">
        <f t="shared" si="68"/>
        <v>0.15908643494902472</v>
      </c>
      <c r="BL45" s="10">
        <f t="shared" si="68"/>
        <v>0.15908643494902472</v>
      </c>
      <c r="BM45" s="10">
        <f t="shared" si="68"/>
        <v>0.15908643494902472</v>
      </c>
      <c r="BN45" s="10">
        <f t="shared" si="68"/>
        <v>0.15908643494902472</v>
      </c>
      <c r="BO45" s="10">
        <f t="shared" ref="BO45:CG45" si="69">(BO$40/(BO$10^2))*((PI()^2)/4)*(BO$12*100/BO$39)*(((SIN(BO37))^2)/(BO$5+BO$11*BO$6)^2)</f>
        <v>0.15908643494902472</v>
      </c>
      <c r="BP45" s="10">
        <f t="shared" si="69"/>
        <v>0.15908643494902472</v>
      </c>
      <c r="BQ45" s="10">
        <f t="shared" si="69"/>
        <v>0.15908643494902472</v>
      </c>
      <c r="BR45" s="10">
        <f t="shared" si="69"/>
        <v>0.15908643494902472</v>
      </c>
      <c r="BS45" s="10">
        <f t="shared" si="69"/>
        <v>0.15908643494902472</v>
      </c>
      <c r="BT45" s="10">
        <f t="shared" si="69"/>
        <v>0.15908643494902472</v>
      </c>
      <c r="BU45" s="10">
        <f t="shared" si="69"/>
        <v>0.15908643494902472</v>
      </c>
      <c r="BV45" s="10">
        <f t="shared" si="69"/>
        <v>0.15908643494902472</v>
      </c>
      <c r="BW45" s="10">
        <f t="shared" si="69"/>
        <v>0.15908643494902472</v>
      </c>
      <c r="BX45" s="10">
        <f t="shared" si="69"/>
        <v>0.15908643494902472</v>
      </c>
      <c r="BY45" s="10">
        <f t="shared" si="69"/>
        <v>0.15908643494902472</v>
      </c>
      <c r="BZ45" s="10">
        <f t="shared" si="69"/>
        <v>0.15908643494902472</v>
      </c>
      <c r="CA45" s="10">
        <f t="shared" si="69"/>
        <v>0.15908643494902472</v>
      </c>
      <c r="CB45" s="10">
        <f t="shared" si="69"/>
        <v>0.15908643494902472</v>
      </c>
      <c r="CC45" s="10">
        <f t="shared" si="69"/>
        <v>0.15908643494902472</v>
      </c>
      <c r="CD45" s="10">
        <f t="shared" si="69"/>
        <v>0.15908643494902472</v>
      </c>
      <c r="CE45" s="10">
        <f t="shared" si="69"/>
        <v>0.15908643494902472</v>
      </c>
      <c r="CF45" s="10">
        <f t="shared" si="69"/>
        <v>0.15908643494902472</v>
      </c>
      <c r="CG45" s="10">
        <f t="shared" si="69"/>
        <v>0.15908643494902472</v>
      </c>
    </row>
    <row r="46" spans="2:89" ht="16.5" customHeight="1">
      <c r="B46" s="10" t="s">
        <v>804</v>
      </c>
      <c r="C46" s="10">
        <f t="shared" ref="C46:AH46" si="70">(C$40/(C$10^2))*((PI()^2)/4)*(C$12*100/C$39)*(((SIN(C38))^2)/(C$5+C$11*C$6)^2)</f>
        <v>4.2627081771337512E-2</v>
      </c>
      <c r="D46" s="10">
        <f t="shared" si="70"/>
        <v>4.2627081771337512E-2</v>
      </c>
      <c r="E46" s="10">
        <f t="shared" si="70"/>
        <v>4.2627081771337512E-2</v>
      </c>
      <c r="F46" s="10">
        <f t="shared" si="70"/>
        <v>4.2627081771337512E-2</v>
      </c>
      <c r="G46" s="10">
        <f t="shared" si="70"/>
        <v>4.2627081771337512E-2</v>
      </c>
      <c r="H46" s="10">
        <f t="shared" si="70"/>
        <v>4.2627081771337512E-2</v>
      </c>
      <c r="I46" s="10">
        <f t="shared" si="70"/>
        <v>4.2627081771337512E-2</v>
      </c>
      <c r="J46" s="10">
        <f t="shared" si="70"/>
        <v>4.2627081771337512E-2</v>
      </c>
      <c r="K46" s="10">
        <f t="shared" si="70"/>
        <v>4.2627081771337512E-2</v>
      </c>
      <c r="L46" s="10">
        <f t="shared" si="70"/>
        <v>4.2627081771337512E-2</v>
      </c>
      <c r="M46" s="10">
        <f t="shared" si="70"/>
        <v>4.2627081771337512E-2</v>
      </c>
      <c r="N46" s="10">
        <f t="shared" si="70"/>
        <v>4.2627081771337512E-2</v>
      </c>
      <c r="O46" s="10">
        <f t="shared" si="70"/>
        <v>4.2627081771337512E-2</v>
      </c>
      <c r="P46" s="10">
        <f t="shared" si="70"/>
        <v>4.2627081771337512E-2</v>
      </c>
      <c r="Q46" s="10">
        <f t="shared" si="70"/>
        <v>4.2627081771337512E-2</v>
      </c>
      <c r="R46" s="10">
        <f t="shared" si="70"/>
        <v>4.2627081771337512E-2</v>
      </c>
      <c r="S46" s="10">
        <f t="shared" si="70"/>
        <v>4.2627081771337512E-2</v>
      </c>
      <c r="T46" s="10">
        <f t="shared" si="70"/>
        <v>4.2627081771337512E-2</v>
      </c>
      <c r="U46" s="10">
        <f t="shared" si="70"/>
        <v>4.2627081771337512E-2</v>
      </c>
      <c r="V46" s="10">
        <f t="shared" si="70"/>
        <v>4.2627081771337512E-2</v>
      </c>
      <c r="W46" s="10">
        <f t="shared" si="70"/>
        <v>4.2627081771337512E-2</v>
      </c>
      <c r="X46" s="10">
        <f t="shared" si="70"/>
        <v>4.2627081771337512E-2</v>
      </c>
      <c r="Y46" s="10">
        <f t="shared" si="70"/>
        <v>4.2627081771337512E-2</v>
      </c>
      <c r="Z46" s="10">
        <f t="shared" si="70"/>
        <v>4.2627081771337512E-2</v>
      </c>
      <c r="AA46" s="10">
        <f t="shared" si="70"/>
        <v>4.2627081771337512E-2</v>
      </c>
      <c r="AB46" s="10">
        <f t="shared" si="70"/>
        <v>4.2627081771337512E-2</v>
      </c>
      <c r="AC46" s="10">
        <f t="shared" si="70"/>
        <v>4.2627081771337512E-2</v>
      </c>
      <c r="AD46" s="10">
        <f t="shared" si="70"/>
        <v>4.2627081771337512E-2</v>
      </c>
      <c r="AE46" s="10">
        <f t="shared" si="70"/>
        <v>4.2627081771337512E-2</v>
      </c>
      <c r="AF46" s="10">
        <f t="shared" si="70"/>
        <v>4.2627081771337512E-2</v>
      </c>
      <c r="AG46" s="10">
        <f t="shared" si="70"/>
        <v>4.2627081771337512E-2</v>
      </c>
      <c r="AH46" s="10">
        <f t="shared" si="70"/>
        <v>4.2627081771337512E-2</v>
      </c>
      <c r="AI46" s="10">
        <f t="shared" ref="AI46:BN46" si="71">(AI$40/(AI$10^2))*((PI()^2)/4)*(AI$12*100/AI$39)*(((SIN(AI38))^2)/(AI$5+AI$11*AI$6)^2)</f>
        <v>4.2627081771337512E-2</v>
      </c>
      <c r="AJ46" s="10">
        <f t="shared" si="71"/>
        <v>4.2627081771337512E-2</v>
      </c>
      <c r="AK46" s="10">
        <f t="shared" si="71"/>
        <v>4.2627081771337512E-2</v>
      </c>
      <c r="AL46" s="10">
        <f t="shared" si="71"/>
        <v>4.2627081771337512E-2</v>
      </c>
      <c r="AM46" s="10">
        <f t="shared" si="71"/>
        <v>4.2627081771337512E-2</v>
      </c>
      <c r="AN46" s="10">
        <f t="shared" si="71"/>
        <v>4.2627081771337512E-2</v>
      </c>
      <c r="AO46" s="10">
        <f t="shared" si="71"/>
        <v>4.2627081771337512E-2</v>
      </c>
      <c r="AP46" s="10">
        <f t="shared" si="71"/>
        <v>4.2627081771337512E-2</v>
      </c>
      <c r="AQ46" s="10">
        <f t="shared" si="71"/>
        <v>4.2627081771337512E-2</v>
      </c>
      <c r="AR46" s="10">
        <f t="shared" si="71"/>
        <v>4.2627081771337512E-2</v>
      </c>
      <c r="AS46" s="10">
        <f t="shared" si="71"/>
        <v>4.2627081771337512E-2</v>
      </c>
      <c r="AT46" s="10">
        <f t="shared" si="71"/>
        <v>4.2627081771337512E-2</v>
      </c>
      <c r="AU46" s="10">
        <f t="shared" si="71"/>
        <v>4.2627081771337512E-2</v>
      </c>
      <c r="AV46" s="10">
        <f t="shared" si="71"/>
        <v>4.2627081771337512E-2</v>
      </c>
      <c r="AW46" s="10">
        <f t="shared" si="71"/>
        <v>4.2627081771337512E-2</v>
      </c>
      <c r="AX46" s="10">
        <f t="shared" si="71"/>
        <v>4.2627081771337512E-2</v>
      </c>
      <c r="AY46" s="10">
        <f t="shared" si="71"/>
        <v>4.2627081771337512E-2</v>
      </c>
      <c r="AZ46" s="10">
        <f t="shared" si="71"/>
        <v>4.2627081771337512E-2</v>
      </c>
      <c r="BA46" s="10">
        <f t="shared" si="71"/>
        <v>4.2627081771337512E-2</v>
      </c>
      <c r="BB46" s="10">
        <f t="shared" si="71"/>
        <v>4.2627081771337512E-2</v>
      </c>
      <c r="BC46" s="10">
        <f t="shared" si="71"/>
        <v>4.2627081771337512E-2</v>
      </c>
      <c r="BD46" s="10">
        <f t="shared" si="71"/>
        <v>4.2627081771337512E-2</v>
      </c>
      <c r="BE46" s="10">
        <f t="shared" si="71"/>
        <v>4.2627081771337512E-2</v>
      </c>
      <c r="BF46" s="10">
        <f t="shared" si="71"/>
        <v>4.2627081771337512E-2</v>
      </c>
      <c r="BG46" s="10">
        <f t="shared" si="71"/>
        <v>4.2627081771337512E-2</v>
      </c>
      <c r="BH46" s="10">
        <f t="shared" si="71"/>
        <v>4.2627081771337512E-2</v>
      </c>
      <c r="BI46" s="10">
        <f t="shared" si="71"/>
        <v>4.2627081771337512E-2</v>
      </c>
      <c r="BJ46" s="10">
        <f t="shared" si="71"/>
        <v>4.2627081771337512E-2</v>
      </c>
      <c r="BK46" s="10">
        <f t="shared" si="71"/>
        <v>4.2627081771337512E-2</v>
      </c>
      <c r="BL46" s="10">
        <f t="shared" si="71"/>
        <v>4.2627081771337512E-2</v>
      </c>
      <c r="BM46" s="10">
        <f t="shared" si="71"/>
        <v>4.2627081771337512E-2</v>
      </c>
      <c r="BN46" s="10">
        <f t="shared" si="71"/>
        <v>4.2627081771337512E-2</v>
      </c>
      <c r="BO46" s="10">
        <f t="shared" ref="BO46:CG46" si="72">(BO$40/(BO$10^2))*((PI()^2)/4)*(BO$12*100/BO$39)*(((SIN(BO38))^2)/(BO$5+BO$11*BO$6)^2)</f>
        <v>4.2627081771337512E-2</v>
      </c>
      <c r="BP46" s="10">
        <f t="shared" si="72"/>
        <v>4.2627081771337512E-2</v>
      </c>
      <c r="BQ46" s="10">
        <f t="shared" si="72"/>
        <v>4.2627081771337512E-2</v>
      </c>
      <c r="BR46" s="10">
        <f t="shared" si="72"/>
        <v>4.2627081771337512E-2</v>
      </c>
      <c r="BS46" s="10">
        <f t="shared" si="72"/>
        <v>4.2627081771337512E-2</v>
      </c>
      <c r="BT46" s="10">
        <f t="shared" si="72"/>
        <v>4.2627081771337512E-2</v>
      </c>
      <c r="BU46" s="10">
        <f t="shared" si="72"/>
        <v>4.2627081771337512E-2</v>
      </c>
      <c r="BV46" s="10">
        <f t="shared" si="72"/>
        <v>4.2627081771337512E-2</v>
      </c>
      <c r="BW46" s="10">
        <f t="shared" si="72"/>
        <v>4.2627081771337512E-2</v>
      </c>
      <c r="BX46" s="10">
        <f t="shared" si="72"/>
        <v>4.2627081771337512E-2</v>
      </c>
      <c r="BY46" s="10">
        <f t="shared" si="72"/>
        <v>4.2627081771337512E-2</v>
      </c>
      <c r="BZ46" s="10">
        <f t="shared" si="72"/>
        <v>4.2627081771337512E-2</v>
      </c>
      <c r="CA46" s="10">
        <f t="shared" si="72"/>
        <v>4.2627081771337512E-2</v>
      </c>
      <c r="CB46" s="10">
        <f t="shared" si="72"/>
        <v>4.2627081771337512E-2</v>
      </c>
      <c r="CC46" s="10">
        <f t="shared" si="72"/>
        <v>4.2627081771337512E-2</v>
      </c>
      <c r="CD46" s="10">
        <f t="shared" si="72"/>
        <v>4.2627081771337512E-2</v>
      </c>
      <c r="CE46" s="10">
        <f t="shared" si="72"/>
        <v>4.2627081771337512E-2</v>
      </c>
      <c r="CF46" s="10">
        <f t="shared" si="72"/>
        <v>4.2627081771337512E-2</v>
      </c>
      <c r="CG46" s="10">
        <f t="shared" si="72"/>
        <v>4.2627081771337512E-2</v>
      </c>
      <c r="CH46" s="10" t="s">
        <v>805</v>
      </c>
      <c r="CI46" s="10" t="s">
        <v>806</v>
      </c>
    </row>
    <row r="47" spans="2:89" ht="16.5" customHeight="1">
      <c r="B47" s="10" t="s">
        <v>807</v>
      </c>
      <c r="C47" s="10">
        <f t="shared" ref="C47:AH47" si="73">1/((1+(C$23*(1-(1/(C$25^2)))))^2+(C41*(C$25-(1/C$25)))^2)^0.5</f>
        <v>2.2187500493012985E-8</v>
      </c>
      <c r="D47" s="10">
        <f t="shared" si="73"/>
        <v>9.8452624646709467E-4</v>
      </c>
      <c r="E47" s="10">
        <f t="shared" si="73"/>
        <v>2.8115237786503029E-3</v>
      </c>
      <c r="F47" s="10">
        <f t="shared" si="73"/>
        <v>5.5868207894404949E-3</v>
      </c>
      <c r="G47" s="10">
        <f t="shared" si="73"/>
        <v>9.3261240318765464E-3</v>
      </c>
      <c r="H47" s="10">
        <f t="shared" si="73"/>
        <v>1.4050749230097618E-2</v>
      </c>
      <c r="I47" s="10">
        <f t="shared" si="73"/>
        <v>1.9787877893706937E-2</v>
      </c>
      <c r="J47" s="10">
        <f t="shared" si="73"/>
        <v>2.6570885535603519E-2</v>
      </c>
      <c r="K47" s="10">
        <f t="shared" si="73"/>
        <v>3.4439745432998915E-2</v>
      </c>
      <c r="L47" s="10">
        <f t="shared" si="73"/>
        <v>4.3441512638418014E-2</v>
      </c>
      <c r="M47" s="10">
        <f t="shared" si="73"/>
        <v>5.3630893260543239E-2</v>
      </c>
      <c r="N47" s="10">
        <f t="shared" si="73"/>
        <v>6.5070903940646685E-2</v>
      </c>
      <c r="O47" s="10">
        <f t="shared" si="73"/>
        <v>7.7833625717839944E-2</v>
      </c>
      <c r="P47" s="10">
        <f t="shared" si="73"/>
        <v>9.2001054760621495E-2</v>
      </c>
      <c r="Q47" s="10">
        <f t="shared" si="73"/>
        <v>0.10766604923402472</v>
      </c>
      <c r="R47" s="10">
        <f t="shared" si="73"/>
        <v>0.12493336612555518</v>
      </c>
      <c r="S47" s="10">
        <f t="shared" si="73"/>
        <v>0.14392077308633108</v>
      </c>
      <c r="T47" s="10">
        <f t="shared" si="73"/>
        <v>0.16476020669723468</v>
      </c>
      <c r="U47" s="10">
        <f t="shared" si="73"/>
        <v>0.1875989278202099</v>
      </c>
      <c r="V47" s="10">
        <f t="shared" si="73"/>
        <v>0.21260059371103288</v>
      </c>
      <c r="W47" s="10">
        <f t="shared" si="73"/>
        <v>0.23994612101480037</v>
      </c>
      <c r="X47" s="10">
        <f t="shared" si="73"/>
        <v>0.26983414776957565</v>
      </c>
      <c r="Y47" s="10">
        <f t="shared" si="73"/>
        <v>0.3024808084330261</v>
      </c>
      <c r="Z47" s="10">
        <f t="shared" si="73"/>
        <v>0.33811840422001876</v>
      </c>
      <c r="AA47" s="10">
        <f t="shared" si="73"/>
        <v>0.37699237100628474</v>
      </c>
      <c r="AB47" s="10">
        <f t="shared" si="73"/>
        <v>0.4193557089365173</v>
      </c>
      <c r="AC47" s="10">
        <f t="shared" si="73"/>
        <v>0.46545973780143618</v>
      </c>
      <c r="AD47" s="10">
        <f t="shared" si="73"/>
        <v>0.515539692478585</v>
      </c>
      <c r="AE47" s="10">
        <f t="shared" si="73"/>
        <v>0.56979332047612463</v>
      </c>
      <c r="AF47" s="10">
        <f t="shared" si="73"/>
        <v>0.62835040207027704</v>
      </c>
      <c r="AG47" s="10">
        <f t="shared" si="73"/>
        <v>0.69123120606439348</v>
      </c>
      <c r="AH47" s="10">
        <f t="shared" si="73"/>
        <v>0.75829270227778001</v>
      </c>
      <c r="AI47" s="10">
        <f t="shared" ref="AI47:BN47" si="74">1/((1+(AI$23*(1-(1/(AI$25^2)))))^2+(AI41*(AI$25-(1/AI$25)))^2)^0.5</f>
        <v>0.82916343134051473</v>
      </c>
      <c r="AJ47" s="10">
        <f t="shared" si="74"/>
        <v>0.90317191597212443</v>
      </c>
      <c r="AK47" s="10">
        <f t="shared" si="74"/>
        <v>0.9792797475167534</v>
      </c>
      <c r="AL47" s="10">
        <f t="shared" si="74"/>
        <v>1.0560383632337544</v>
      </c>
      <c r="AM47" s="10">
        <f t="shared" si="74"/>
        <v>1.1315954204653231</v>
      </c>
      <c r="AN47" s="10">
        <f t="shared" si="74"/>
        <v>1.2037774268863417</v>
      </c>
      <c r="AO47" s="10">
        <f t="shared" si="74"/>
        <v>1.2702636523931707</v>
      </c>
      <c r="AP47" s="10">
        <f t="shared" si="74"/>
        <v>1.3034273869514379</v>
      </c>
      <c r="AQ47" s="10">
        <f t="shared" si="74"/>
        <v>1.3568669324433811</v>
      </c>
      <c r="AR47" s="10">
        <f t="shared" si="74"/>
        <v>1.3998350313061336</v>
      </c>
      <c r="AS47" s="10">
        <f t="shared" si="74"/>
        <v>1.4315634357036351</v>
      </c>
      <c r="AT47" s="10">
        <f t="shared" si="74"/>
        <v>1.4520706842343347</v>
      </c>
      <c r="AU47" s="10">
        <f t="shared" si="74"/>
        <v>1.4620765866972742</v>
      </c>
      <c r="AV47" s="10">
        <f t="shared" si="74"/>
        <v>1.4628137342720611</v>
      </c>
      <c r="AW47" s="10">
        <f t="shared" si="74"/>
        <v>1.4557995474992036</v>
      </c>
      <c r="AX47" s="10">
        <f t="shared" si="74"/>
        <v>1.4426267441388843</v>
      </c>
      <c r="AY47" s="10">
        <f t="shared" si="74"/>
        <v>1.4248065676914281</v>
      </c>
      <c r="AZ47" s="10">
        <f t="shared" si="74"/>
        <v>1.4036737082267887</v>
      </c>
      <c r="BA47" s="10">
        <f t="shared" si="74"/>
        <v>1.3803446137348525</v>
      </c>
      <c r="BB47" s="10">
        <f t="shared" si="74"/>
        <v>1.3557137252769509</v>
      </c>
      <c r="BC47" s="10">
        <f t="shared" si="74"/>
        <v>1.3304721968150905</v>
      </c>
      <c r="BD47" s="10">
        <f t="shared" si="74"/>
        <v>1.3051370887268592</v>
      </c>
      <c r="BE47" s="10">
        <f t="shared" si="74"/>
        <v>1.2800831293033021</v>
      </c>
      <c r="BF47" s="10">
        <f t="shared" si="74"/>
        <v>1.2555725802796642</v>
      </c>
      <c r="BG47" s="10">
        <f t="shared" si="74"/>
        <v>1.2317811467283026</v>
      </c>
      <c r="BH47" s="10">
        <f t="shared" si="74"/>
        <v>1.2088193415404738</v>
      </c>
      <c r="BI47" s="10">
        <f t="shared" si="74"/>
        <v>1.1867495038214986</v>
      </c>
      <c r="BJ47" s="10">
        <f t="shared" si="74"/>
        <v>1.1655990244633767</v>
      </c>
      <c r="BK47" s="10">
        <f t="shared" si="74"/>
        <v>1.1453704359709256</v>
      </c>
      <c r="BL47" s="10">
        <f t="shared" si="74"/>
        <v>1.1260489990354041</v>
      </c>
      <c r="BM47" s="10">
        <f t="shared" si="74"/>
        <v>1.1076083380892259</v>
      </c>
      <c r="BN47" s="10">
        <f t="shared" si="74"/>
        <v>1.0900145819418654</v>
      </c>
      <c r="BO47" s="10">
        <f t="shared" ref="BO47:CG47" si="75">1/((1+(BO$23*(1-(1/(BO$25^2)))))^2+(BO41*(BO$25-(1/BO$25)))^2)^0.5</f>
        <v>1.0732293732538578</v>
      </c>
      <c r="BP47" s="10">
        <f t="shared" si="75"/>
        <v>1.0572120302770045</v>
      </c>
      <c r="BQ47" s="10">
        <f t="shared" si="75"/>
        <v>1.0419210781727759</v>
      </c>
      <c r="BR47" s="10">
        <f t="shared" si="75"/>
        <v>1.0273153146368825</v>
      </c>
      <c r="BS47" s="10">
        <f t="shared" si="75"/>
        <v>1.0133545336674872</v>
      </c>
      <c r="BT47" s="10">
        <f t="shared" si="75"/>
        <v>1</v>
      </c>
      <c r="BU47" s="10">
        <f t="shared" si="75"/>
        <v>0.86932878949006742</v>
      </c>
      <c r="BV47" s="10">
        <f t="shared" si="75"/>
        <v>0.78302798081554392</v>
      </c>
      <c r="BW47" s="10">
        <f t="shared" si="75"/>
        <v>0.7189606421508844</v>
      </c>
      <c r="BX47" s="10">
        <f t="shared" si="75"/>
        <v>0.66758948949687114</v>
      </c>
      <c r="BY47" s="10">
        <f t="shared" si="75"/>
        <v>0.62435847968783431</v>
      </c>
      <c r="BZ47" s="10">
        <f t="shared" si="75"/>
        <v>0.58686236084385046</v>
      </c>
      <c r="CA47" s="10">
        <f t="shared" si="75"/>
        <v>0.55370968559883993</v>
      </c>
      <c r="CB47" s="10">
        <f t="shared" si="75"/>
        <v>0.5240246593310286</v>
      </c>
      <c r="CC47" s="10">
        <f t="shared" si="75"/>
        <v>0.49721244747550886</v>
      </c>
      <c r="CD47" s="10">
        <f t="shared" si="75"/>
        <v>0.47284171804791636</v>
      </c>
      <c r="CE47" s="10">
        <f t="shared" si="75"/>
        <v>0.45058264732500664</v>
      </c>
      <c r="CF47" s="10">
        <f t="shared" si="75"/>
        <v>0.430172514117447</v>
      </c>
      <c r="CG47" s="10">
        <f t="shared" si="75"/>
        <v>0.41139562149519593</v>
      </c>
      <c r="CH47" s="10">
        <f t="array" aca="1" ref="CH47" ca="1">INDIRECT(CI47)</f>
        <v>0.62318840579710266</v>
      </c>
      <c r="CI47" s="10" t="str">
        <f t="shared" ref="CI47:CI52" si="76">ADDRESS(25,CJ47)</f>
        <v>$AT$25</v>
      </c>
      <c r="CJ47" s="10">
        <f t="shared" ref="CJ47:CJ52" si="77">MATCH(CK47,C47:CG47,0)</f>
        <v>46</v>
      </c>
      <c r="CK47" s="10">
        <f t="shared" ref="CK47:CK52" si="78">MAX(C47:CG47)</f>
        <v>1.4628137342720611</v>
      </c>
    </row>
    <row r="48" spans="2:89" ht="16.5" customHeight="1">
      <c r="B48" s="10" t="s">
        <v>808</v>
      </c>
      <c r="C48" s="10">
        <f t="shared" ref="C48:AH48" si="79">1/((1+(C$23*(1-(1/(C$25^2)))))^2+(C42*(C$25-(1/C$25)))^2)^0.5</f>
        <v>2.2187500521648737E-8</v>
      </c>
      <c r="D48" s="10">
        <f t="shared" si="79"/>
        <v>9.8458263964186412E-4</v>
      </c>
      <c r="E48" s="10">
        <f t="shared" si="79"/>
        <v>2.8119838278690698E-3</v>
      </c>
      <c r="F48" s="10">
        <f t="shared" si="79"/>
        <v>5.5886382989107286E-3</v>
      </c>
      <c r="G48" s="10">
        <f t="shared" si="79"/>
        <v>9.3311922499209072E-3</v>
      </c>
      <c r="H48" s="10">
        <f t="shared" si="79"/>
        <v>1.4062263572783533E-2</v>
      </c>
      <c r="I48" s="10">
        <f t="shared" si="79"/>
        <v>1.9810739686319974E-2</v>
      </c>
      <c r="J48" s="10">
        <f t="shared" si="79"/>
        <v>2.6612160178405345E-2</v>
      </c>
      <c r="K48" s="10">
        <f t="shared" si="79"/>
        <v>3.4509190640844477E-2</v>
      </c>
      <c r="L48" s="10">
        <f t="shared" si="79"/>
        <v>4.3552195312680238E-2</v>
      </c>
      <c r="M48" s="10">
        <f t="shared" si="79"/>
        <v>5.3799917253623077E-2</v>
      </c>
      <c r="N48" s="10">
        <f t="shared" si="79"/>
        <v>6.5320275622775162E-2</v>
      </c>
      <c r="O48" s="10">
        <f t="shared" si="79"/>
        <v>7.8191290033892288E-2</v>
      </c>
      <c r="P48" s="10">
        <f t="shared" si="79"/>
        <v>9.25021415725132E-2</v>
      </c>
      <c r="Q48" s="10">
        <f t="shared" si="79"/>
        <v>0.10835437838784254</v>
      </c>
      <c r="R48" s="10">
        <f t="shared" si="79"/>
        <v>0.12586327003949258</v>
      </c>
      <c r="S48" s="10">
        <f t="shared" si="79"/>
        <v>0.14515930781172887</v>
      </c>
      <c r="T48" s="10">
        <f t="shared" si="79"/>
        <v>0.16638983623967979</v>
      </c>
      <c r="U48" s="10">
        <f t="shared" si="79"/>
        <v>0.18972078149069119</v>
      </c>
      <c r="V48" s="10">
        <f t="shared" si="79"/>
        <v>0.21533841112440738</v>
      </c>
      <c r="W48" s="10">
        <f t="shared" si="79"/>
        <v>0.24345101145169826</v>
      </c>
      <c r="X48" s="10">
        <f t="shared" si="79"/>
        <v>0.2742902950950728</v>
      </c>
      <c r="Y48" s="10">
        <f t="shared" si="79"/>
        <v>0.30811224101597323</v>
      </c>
      <c r="Z48" s="10">
        <f t="shared" si="79"/>
        <v>0.34519690674770004</v>
      </c>
      <c r="AA48" s="10">
        <f t="shared" si="79"/>
        <v>0.38584651797564307</v>
      </c>
      <c r="AB48" s="10">
        <f t="shared" si="79"/>
        <v>0.43038081071293455</v>
      </c>
      <c r="AC48" s="10">
        <f t="shared" si="79"/>
        <v>0.47912815407094933</v>
      </c>
      <c r="AD48" s="10">
        <f t="shared" si="79"/>
        <v>0.5324104079641403</v>
      </c>
      <c r="AE48" s="10">
        <f t="shared" si="79"/>
        <v>0.59051879979497779</v>
      </c>
      <c r="AF48" s="10">
        <f t="shared" si="79"/>
        <v>0.65367745552530565</v>
      </c>
      <c r="AG48" s="10">
        <f t="shared" si="79"/>
        <v>0.72199088432745162</v>
      </c>
      <c r="AH48" s="10">
        <f t="shared" si="79"/>
        <v>0.79537227352357487</v>
      </c>
      <c r="AI48" s="10">
        <f t="shared" ref="AI48:BN48" si="80">1/((1+(AI$23*(1-(1/(AI$25^2)))))^2+(AI42*(AI$25-(1/AI$25)))^2)^0.5</f>
        <v>0.87345188459907275</v>
      </c>
      <c r="AJ48" s="10">
        <f t="shared" si="80"/>
        <v>0.95547049973735965</v>
      </c>
      <c r="AK48" s="10">
        <f t="shared" si="80"/>
        <v>1.0401729754958224</v>
      </c>
      <c r="AL48" s="10">
        <f t="shared" si="80"/>
        <v>1.1257312484257571</v>
      </c>
      <c r="AM48" s="10">
        <f t="shared" si="80"/>
        <v>1.2097405015800005</v>
      </c>
      <c r="AN48" s="10">
        <f t="shared" si="80"/>
        <v>1.2893366863849671</v>
      </c>
      <c r="AO48" s="10">
        <f t="shared" si="80"/>
        <v>1.3614644350384182</v>
      </c>
      <c r="AP48" s="10">
        <f t="shared" si="80"/>
        <v>1.3967280438144021</v>
      </c>
      <c r="AQ48" s="10">
        <f t="shared" si="80"/>
        <v>1.4519004252072429</v>
      </c>
      <c r="AR48" s="10">
        <f t="shared" si="80"/>
        <v>1.4937470125652563</v>
      </c>
      <c r="AS48" s="10">
        <f t="shared" si="80"/>
        <v>1.5216695720510631</v>
      </c>
      <c r="AT48" s="10">
        <f t="shared" si="80"/>
        <v>1.536171504431102</v>
      </c>
      <c r="AU48" s="10">
        <f t="shared" si="80"/>
        <v>1.5386428248359116</v>
      </c>
      <c r="AV48" s="10">
        <f t="shared" si="80"/>
        <v>1.5310217264930324</v>
      </c>
      <c r="AW48" s="10">
        <f t="shared" si="80"/>
        <v>1.5154477343695478</v>
      </c>
      <c r="AX48" s="10">
        <f t="shared" si="80"/>
        <v>1.4939880574370779</v>
      </c>
      <c r="AY48" s="10">
        <f t="shared" si="80"/>
        <v>1.4684676076258762</v>
      </c>
      <c r="AZ48" s="10">
        <f t="shared" si="80"/>
        <v>1.440393648275774</v>
      </c>
      <c r="BA48" s="10">
        <f t="shared" si="80"/>
        <v>1.4109478981564221</v>
      </c>
      <c r="BB48" s="10">
        <f t="shared" si="80"/>
        <v>1.3810174586181623</v>
      </c>
      <c r="BC48" s="10">
        <f t="shared" si="80"/>
        <v>1.3512424979007214</v>
      </c>
      <c r="BD48" s="10">
        <f t="shared" si="80"/>
        <v>1.3220667558203927</v>
      </c>
      <c r="BE48" s="10">
        <f t="shared" si="80"/>
        <v>1.2937835544085396</v>
      </c>
      <c r="BF48" s="10">
        <f t="shared" si="80"/>
        <v>1.2665743864817034</v>
      </c>
      <c r="BG48" s="10">
        <f t="shared" si="80"/>
        <v>1.2405396424993345</v>
      </c>
      <c r="BH48" s="10">
        <f t="shared" si="80"/>
        <v>1.2157222326615302</v>
      </c>
      <c r="BI48" s="10">
        <f t="shared" si="80"/>
        <v>1.1921252955293042</v>
      </c>
      <c r="BJ48" s="10">
        <f t="shared" si="80"/>
        <v>1.169725222390644</v>
      </c>
      <c r="BK48" s="10">
        <f t="shared" si="80"/>
        <v>1.1484810887690675</v>
      </c>
      <c r="BL48" s="10">
        <f t="shared" si="80"/>
        <v>1.1283413904339108</v>
      </c>
      <c r="BM48" s="10">
        <f t="shared" si="80"/>
        <v>1.1092487889156217</v>
      </c>
      <c r="BN48" s="10">
        <f t="shared" si="80"/>
        <v>1.0911434045253525</v>
      </c>
      <c r="BO48" s="10">
        <f t="shared" ref="BO48:CG48" si="81">1/((1+(BO$23*(1-(1/(BO$25^2)))))^2+(BO42*(BO$25-(1/BO$25)))^2)^0.5</f>
        <v>1.0739650595133297</v>
      </c>
      <c r="BP48" s="10">
        <f t="shared" si="81"/>
        <v>1.0576547686580842</v>
      </c>
      <c r="BQ48" s="10">
        <f t="shared" si="81"/>
        <v>1.0421556946941077</v>
      </c>
      <c r="BR48" s="10">
        <f t="shared" si="81"/>
        <v>1.0274137264345278</v>
      </c>
      <c r="BS48" s="10">
        <f t="shared" si="81"/>
        <v>1.0133777935640818</v>
      </c>
      <c r="BT48" s="10">
        <f t="shared" si="81"/>
        <v>1</v>
      </c>
      <c r="BU48" s="10">
        <f t="shared" si="81"/>
        <v>0.87133740265454684</v>
      </c>
      <c r="BV48" s="10">
        <f t="shared" si="81"/>
        <v>0.78822983833089943</v>
      </c>
      <c r="BW48" s="10">
        <f t="shared" si="81"/>
        <v>0.72719261094415744</v>
      </c>
      <c r="BX48" s="10">
        <f t="shared" si="81"/>
        <v>0.678427575622643</v>
      </c>
      <c r="BY48" s="10">
        <f t="shared" si="81"/>
        <v>0.63734368487814608</v>
      </c>
      <c r="BZ48" s="10">
        <f t="shared" si="81"/>
        <v>0.60156468172493005</v>
      </c>
      <c r="CA48" s="10">
        <f t="shared" si="81"/>
        <v>0.56974877429492909</v>
      </c>
      <c r="CB48" s="10">
        <f t="shared" si="81"/>
        <v>0.54107477142002236</v>
      </c>
      <c r="CC48" s="10">
        <f t="shared" si="81"/>
        <v>0.51500055242962417</v>
      </c>
      <c r="CD48" s="10">
        <f t="shared" si="81"/>
        <v>0.49114255964982567</v>
      </c>
      <c r="CE48" s="10">
        <f t="shared" si="81"/>
        <v>0.46921266930352379</v>
      </c>
      <c r="CF48" s="10">
        <f t="shared" si="81"/>
        <v>0.44898366977705501</v>
      </c>
      <c r="CG48" s="10">
        <f t="shared" si="81"/>
        <v>0.43026958930707759</v>
      </c>
      <c r="CH48" s="10">
        <f t="array" aca="1" ref="CH48" ca="1">INDIRECT(CI48)</f>
        <v>0.6086956521739143</v>
      </c>
      <c r="CI48" s="10" t="str">
        <f t="shared" si="76"/>
        <v>$AS$25</v>
      </c>
      <c r="CJ48" s="10">
        <f t="shared" si="77"/>
        <v>45</v>
      </c>
      <c r="CK48" s="10">
        <f t="shared" si="78"/>
        <v>1.5386428248359116</v>
      </c>
    </row>
    <row r="49" spans="2:89" ht="16.5" customHeight="1">
      <c r="B49" s="10" t="s">
        <v>809</v>
      </c>
      <c r="C49" s="10">
        <f t="shared" ref="C49:AH49" si="82">1/((1+(C$23*(1-(1/(C$25^2)))))^2+(C43*(C$25-(1/C$25)))^2)^0.5</f>
        <v>2.218750058976488E-8</v>
      </c>
      <c r="D49" s="10">
        <f t="shared" si="82"/>
        <v>9.8471682158878904E-4</v>
      </c>
      <c r="E49" s="10">
        <f t="shared" si="82"/>
        <v>2.8130790595898834E-3</v>
      </c>
      <c r="F49" s="10">
        <f t="shared" si="82"/>
        <v>5.5929687645112965E-3</v>
      </c>
      <c r="G49" s="10">
        <f t="shared" si="82"/>
        <v>9.3432813516733087E-3</v>
      </c>
      <c r="H49" s="10">
        <f t="shared" si="82"/>
        <v>1.4089767007314614E-2</v>
      </c>
      <c r="I49" s="10">
        <f t="shared" si="82"/>
        <v>1.9865441268737807E-2</v>
      </c>
      <c r="J49" s="10">
        <f t="shared" si="82"/>
        <v>2.671111870883356E-2</v>
      </c>
      <c r="K49" s="10">
        <f t="shared" si="82"/>
        <v>3.4676083539654325E-2</v>
      </c>
      <c r="L49" s="10">
        <f t="shared" si="82"/>
        <v>4.3818914613833367E-2</v>
      </c>
      <c r="M49" s="10">
        <f t="shared" si="82"/>
        <v>5.4208486451283983E-2</v>
      </c>
      <c r="N49" s="10">
        <f t="shared" si="82"/>
        <v>6.5925172618457137E-2</v>
      </c>
      <c r="O49" s="10">
        <f t="shared" si="82"/>
        <v>7.9062283073140324E-2</v>
      </c>
      <c r="P49" s="10">
        <f t="shared" si="82"/>
        <v>9.3727772929082021E-2</v>
      </c>
      <c r="Q49" s="10">
        <f t="shared" si="82"/>
        <v>0.11004626633918932</v>
      </c>
      <c r="R49" s="10">
        <f t="shared" si="82"/>
        <v>0.12816144547120611</v>
      </c>
      <c r="S49" s="10">
        <f t="shared" si="82"/>
        <v>0.1482388600978507</v>
      </c>
      <c r="T49" s="10">
        <f t="shared" si="82"/>
        <v>0.17046921672443835</v>
      </c>
      <c r="U49" s="10">
        <f t="shared" si="82"/>
        <v>0.19507220488818441</v>
      </c>
      <c r="V49" s="10">
        <f t="shared" si="82"/>
        <v>0.22230090785668402</v>
      </c>
      <c r="W49" s="10">
        <f t="shared" si="82"/>
        <v>0.25244681786278594</v>
      </c>
      <c r="X49" s="10">
        <f t="shared" si="82"/>
        <v>0.285845419496081</v>
      </c>
      <c r="Y49" s="10">
        <f t="shared" si="82"/>
        <v>0.32288219772988536</v>
      </c>
      <c r="Z49" s="10">
        <f t="shared" si="82"/>
        <v>0.36399873449054476</v>
      </c>
      <c r="AA49" s="10">
        <f t="shared" si="82"/>
        <v>0.4096982234315199</v>
      </c>
      <c r="AB49" s="10">
        <f t="shared" si="82"/>
        <v>0.46054916781388577</v>
      </c>
      <c r="AC49" s="10">
        <f t="shared" si="82"/>
        <v>0.51718509560041925</v>
      </c>
      <c r="AD49" s="10">
        <f t="shared" si="82"/>
        <v>0.58029663416505017</v>
      </c>
      <c r="AE49" s="10">
        <f t="shared" si="82"/>
        <v>0.65060998375964496</v>
      </c>
      <c r="AF49" s="10">
        <f t="shared" si="82"/>
        <v>0.72884246792121943</v>
      </c>
      <c r="AG49" s="10">
        <f t="shared" si="82"/>
        <v>0.81562138950569552</v>
      </c>
      <c r="AH49" s="10">
        <f t="shared" si="82"/>
        <v>0.91134761413126231</v>
      </c>
      <c r="AI49" s="10">
        <f t="shared" ref="AI49:BN49" si="83">1/((1+(AI$23*(1-(1/(AI$25^2)))))^2+(AI43*(AI$25-(1/AI$25)))^2)^0.5</f>
        <v>1.0159827915618624</v>
      </c>
      <c r="AJ49" s="10">
        <f t="shared" si="83"/>
        <v>1.1287454024968693</v>
      </c>
      <c r="AK49" s="10">
        <f t="shared" si="83"/>
        <v>1.2477279787413214</v>
      </c>
      <c r="AL49" s="10">
        <f t="shared" si="83"/>
        <v>1.3695110786498488</v>
      </c>
      <c r="AM49" s="10">
        <f t="shared" si="83"/>
        <v>1.4889512611638971</v>
      </c>
      <c r="AN49" s="10">
        <f t="shared" si="83"/>
        <v>1.5994139734334325</v>
      </c>
      <c r="AO49" s="10">
        <f t="shared" si="83"/>
        <v>1.6936845817301764</v>
      </c>
      <c r="AP49" s="10">
        <f t="shared" si="83"/>
        <v>1.7360762585786664</v>
      </c>
      <c r="AQ49" s="10">
        <f t="shared" si="83"/>
        <v>1.7938004859261434</v>
      </c>
      <c r="AR49" s="10">
        <f t="shared" si="83"/>
        <v>1.8247271925331139</v>
      </c>
      <c r="AS49" s="10">
        <f t="shared" si="83"/>
        <v>1.8303735354631168</v>
      </c>
      <c r="AT49" s="10">
        <f t="shared" si="83"/>
        <v>1.8148357504198023</v>
      </c>
      <c r="AU49" s="10">
        <f t="shared" si="83"/>
        <v>1.7834146511434505</v>
      </c>
      <c r="AV49" s="10">
        <f t="shared" si="83"/>
        <v>1.7413726325908492</v>
      </c>
      <c r="AW49" s="10">
        <f t="shared" si="83"/>
        <v>1.6931775755833773</v>
      </c>
      <c r="AX49" s="10">
        <f t="shared" si="83"/>
        <v>1.6422328423988222</v>
      </c>
      <c r="AY49" s="10">
        <f t="shared" si="83"/>
        <v>1.5909226132943757</v>
      </c>
      <c r="AZ49" s="10">
        <f t="shared" si="83"/>
        <v>1.5407979866097228</v>
      </c>
      <c r="BA49" s="10">
        <f t="shared" si="83"/>
        <v>1.4927906244889653</v>
      </c>
      <c r="BB49" s="10">
        <f t="shared" si="83"/>
        <v>1.4474003227057912</v>
      </c>
      <c r="BC49" s="10">
        <f t="shared" si="83"/>
        <v>1.4048402852759538</v>
      </c>
      <c r="BD49" s="10">
        <f t="shared" si="83"/>
        <v>1.3651417800332339</v>
      </c>
      <c r="BE49" s="10">
        <f t="shared" si="83"/>
        <v>1.3282260746356342</v>
      </c>
      <c r="BF49" s="10">
        <f t="shared" si="83"/>
        <v>1.2939522395759915</v>
      </c>
      <c r="BG49" s="10">
        <f t="shared" si="83"/>
        <v>1.2621480438537473</v>
      </c>
      <c r="BH49" s="10">
        <f t="shared" si="83"/>
        <v>1.23262938876772</v>
      </c>
      <c r="BI49" s="10">
        <f t="shared" si="83"/>
        <v>1.2052121475209481</v>
      </c>
      <c r="BJ49" s="10">
        <f t="shared" si="83"/>
        <v>1.1797190624652119</v>
      </c>
      <c r="BK49" s="10">
        <f t="shared" si="83"/>
        <v>1.1559834778130489</v>
      </c>
      <c r="BL49" s="10">
        <f t="shared" si="83"/>
        <v>1.1338510816349738</v>
      </c>
      <c r="BM49" s="10">
        <f t="shared" si="83"/>
        <v>1.1131804233394118</v>
      </c>
      <c r="BN49" s="10">
        <f t="shared" si="83"/>
        <v>1.0938427018367789</v>
      </c>
      <c r="BO49" s="10">
        <f t="shared" ref="BO49:CG49" si="84">1/((1+(BO$23*(1-(1/(BO$25^2)))))^2+(BO43*(BO$25-(1/BO$25)))^2)^0.5</f>
        <v>1.0757211411967591</v>
      </c>
      <c r="BP49" s="10">
        <f t="shared" si="84"/>
        <v>1.0587101540013382</v>
      </c>
      <c r="BQ49" s="10">
        <f t="shared" si="84"/>
        <v>1.0427144168162863</v>
      </c>
      <c r="BR49" s="10">
        <f t="shared" si="84"/>
        <v>1.0276479332377229</v>
      </c>
      <c r="BS49" s="10">
        <f t="shared" si="84"/>
        <v>1.0134331285444595</v>
      </c>
      <c r="BT49" s="10">
        <f t="shared" si="84"/>
        <v>1</v>
      </c>
      <c r="BU49" s="10">
        <f t="shared" si="84"/>
        <v>0.87617182087508161</v>
      </c>
      <c r="BV49" s="10">
        <f t="shared" si="84"/>
        <v>0.80103241579817241</v>
      </c>
      <c r="BW49" s="10">
        <f t="shared" si="84"/>
        <v>0.74796933861991388</v>
      </c>
      <c r="BX49" s="10">
        <f t="shared" si="84"/>
        <v>0.7064892145411138</v>
      </c>
      <c r="BY49" s="10">
        <f t="shared" si="84"/>
        <v>0.67180884314654099</v>
      </c>
      <c r="BZ49" s="10">
        <f t="shared" si="84"/>
        <v>0.6415172082956111</v>
      </c>
      <c r="CA49" s="10">
        <f t="shared" si="84"/>
        <v>0.61430525325958796</v>
      </c>
      <c r="CB49" s="10">
        <f t="shared" si="84"/>
        <v>0.58941784137969455</v>
      </c>
      <c r="CC49" s="10">
        <f t="shared" si="84"/>
        <v>0.56639460466301605</v>
      </c>
      <c r="CD49" s="10">
        <f t="shared" si="84"/>
        <v>0.54493888314924754</v>
      </c>
      <c r="CE49" s="10">
        <f t="shared" si="84"/>
        <v>0.52484809447278757</v>
      </c>
      <c r="CF49" s="10">
        <f t="shared" si="84"/>
        <v>0.50597537790029756</v>
      </c>
      <c r="CG49" s="10">
        <f t="shared" si="84"/>
        <v>0.48820789580838586</v>
      </c>
      <c r="CH49" s="10">
        <f t="array" aca="1" ref="CH49" ca="1">INDIRECT(CI49)</f>
        <v>0.57971014492753759</v>
      </c>
      <c r="CI49" s="10" t="str">
        <f t="shared" si="76"/>
        <v>$AQ$25</v>
      </c>
      <c r="CJ49" s="10">
        <f t="shared" si="77"/>
        <v>43</v>
      </c>
      <c r="CK49" s="10">
        <f t="shared" si="78"/>
        <v>1.8303735354631168</v>
      </c>
    </row>
    <row r="50" spans="2:89" ht="16.5" customHeight="1">
      <c r="B50" s="10" t="s">
        <v>810</v>
      </c>
      <c r="C50" s="10">
        <f t="shared" ref="C50:AH50" si="85">1/((1+(C$23*(1-(1/(C$25^2)))))^2+(C44*(C$25-(1/C$25)))^2)^0.5</f>
        <v>2.2187500658873382E-8</v>
      </c>
      <c r="D50" s="10">
        <f t="shared" si="85"/>
        <v>9.8485301445229586E-4</v>
      </c>
      <c r="E50" s="10">
        <f t="shared" si="85"/>
        <v>2.8141915561174426E-3</v>
      </c>
      <c r="F50" s="10">
        <f t="shared" si="85"/>
        <v>5.5973726225653541E-3</v>
      </c>
      <c r="G50" s="10">
        <f t="shared" si="85"/>
        <v>9.3555947185451141E-3</v>
      </c>
      <c r="H50" s="10">
        <f t="shared" si="85"/>
        <v>1.4117836702627711E-2</v>
      </c>
      <c r="I50" s="10">
        <f t="shared" si="85"/>
        <v>1.9921405454977066E-2</v>
      </c>
      <c r="J50" s="10">
        <f t="shared" si="85"/>
        <v>2.6812655667801551E-2</v>
      </c>
      <c r="K50" s="10">
        <f t="shared" si="85"/>
        <v>3.4847906847597733E-2</v>
      </c>
      <c r="L50" s="10">
        <f t="shared" si="85"/>
        <v>4.4094590399283935E-2</v>
      </c>
      <c r="M50" s="10">
        <f t="shared" si="85"/>
        <v>5.4632669241166637E-2</v>
      </c>
      <c r="N50" s="10">
        <f t="shared" si="85"/>
        <v>6.6556384368771038E-2</v>
      </c>
      <c r="O50" s="10">
        <f t="shared" si="85"/>
        <v>7.9976397913532143E-2</v>
      </c>
      <c r="P50" s="10">
        <f t="shared" si="85"/>
        <v>9.502242153292545E-2</v>
      </c>
      <c r="Q50" s="10">
        <f t="shared" si="85"/>
        <v>0.11184644373566215</v>
      </c>
      <c r="R50" s="10">
        <f t="shared" si="85"/>
        <v>0.13062670170568472</v>
      </c>
      <c r="S50" s="10">
        <f t="shared" si="85"/>
        <v>0.15157258456896436</v>
      </c>
      <c r="T50" s="10">
        <f t="shared" si="85"/>
        <v>0.17493070869487753</v>
      </c>
      <c r="U50" s="10">
        <f t="shared" si="85"/>
        <v>0.20099247508140472</v>
      </c>
      <c r="V50" s="10">
        <f t="shared" si="85"/>
        <v>0.23010350832604315</v>
      </c>
      <c r="W50" s="10">
        <f t="shared" si="85"/>
        <v>0.26267549057636225</v>
      </c>
      <c r="X50" s="10">
        <f t="shared" si="85"/>
        <v>0.29920104571574935</v>
      </c>
      <c r="Y50" s="10">
        <f t="shared" si="85"/>
        <v>0.34027249854372132</v>
      </c>
      <c r="Z50" s="10">
        <f t="shared" si="85"/>
        <v>0.38660551985480945</v>
      </c>
      <c r="AA50" s="10">
        <f t="shared" si="85"/>
        <v>0.4390688342660008</v>
      </c>
      <c r="AB50" s="10">
        <f t="shared" si="85"/>
        <v>0.49872121771323824</v>
      </c>
      <c r="AC50" s="10">
        <f t="shared" si="85"/>
        <v>0.56685672039518764</v>
      </c>
      <c r="AD50" s="10">
        <f t="shared" si="85"/>
        <v>0.64505791341853791</v>
      </c>
      <c r="AE50" s="10">
        <f t="shared" si="85"/>
        <v>0.73525387534525588</v>
      </c>
      <c r="AF50" s="10">
        <f t="shared" si="85"/>
        <v>0.83977228382931812</v>
      </c>
      <c r="AG50" s="10">
        <f t="shared" si="85"/>
        <v>0.9613586051226588</v>
      </c>
      <c r="AH50" s="10">
        <f t="shared" si="85"/>
        <v>1.103100839258299</v>
      </c>
      <c r="AI50" s="10">
        <f t="shared" ref="AI50:BN50" si="86">1/((1+(AI$23*(1-(1/(AI$25^2)))))^2+(AI44*(AI$25-(1/AI$25)))^2)^0.5</f>
        <v>1.2681301598192409</v>
      </c>
      <c r="AJ50" s="10">
        <f t="shared" si="86"/>
        <v>1.4588483497673264</v>
      </c>
      <c r="AK50" s="10">
        <f t="shared" si="86"/>
        <v>1.6752746302618819</v>
      </c>
      <c r="AL50" s="10">
        <f t="shared" si="86"/>
        <v>1.912069954854452</v>
      </c>
      <c r="AM50" s="10">
        <f t="shared" si="86"/>
        <v>2.1544526722035804</v>
      </c>
      <c r="AN50" s="10">
        <f t="shared" si="86"/>
        <v>2.3755039573408956</v>
      </c>
      <c r="AO50" s="10">
        <f t="shared" si="86"/>
        <v>2.5405256377648313</v>
      </c>
      <c r="AP50" s="10">
        <f t="shared" si="86"/>
        <v>2.596332080527775</v>
      </c>
      <c r="AQ50" s="10">
        <f t="shared" si="86"/>
        <v>2.627989774957499</v>
      </c>
      <c r="AR50" s="10">
        <f t="shared" si="86"/>
        <v>2.5790638536078525</v>
      </c>
      <c r="AS50" s="10">
        <f t="shared" si="86"/>
        <v>2.475765250294546</v>
      </c>
      <c r="AT50" s="10">
        <f t="shared" si="86"/>
        <v>2.3458282430391506</v>
      </c>
      <c r="AU50" s="10">
        <f t="shared" si="86"/>
        <v>2.2094669601996779</v>
      </c>
      <c r="AV50" s="10">
        <f t="shared" si="86"/>
        <v>2.0782824873700725</v>
      </c>
      <c r="AW50" s="10">
        <f t="shared" si="86"/>
        <v>1.9576326985266959</v>
      </c>
      <c r="AX50" s="10">
        <f t="shared" si="86"/>
        <v>1.8492204535674617</v>
      </c>
      <c r="AY50" s="10">
        <f t="shared" si="86"/>
        <v>1.7528916799717629</v>
      </c>
      <c r="AZ50" s="10">
        <f t="shared" si="86"/>
        <v>1.6676759465087614</v>
      </c>
      <c r="BA50" s="10">
        <f t="shared" si="86"/>
        <v>1.5923290222580235</v>
      </c>
      <c r="BB50" s="10">
        <f t="shared" si="86"/>
        <v>1.5255929921684372</v>
      </c>
      <c r="BC50" s="10">
        <f t="shared" si="86"/>
        <v>1.4663082478021907</v>
      </c>
      <c r="BD50" s="10">
        <f t="shared" si="86"/>
        <v>1.4134519509595289</v>
      </c>
      <c r="BE50" s="10">
        <f t="shared" si="86"/>
        <v>1.3661420409624823</v>
      </c>
      <c r="BF50" s="10">
        <f t="shared" si="86"/>
        <v>1.3236264948093288</v>
      </c>
      <c r="BG50" s="10">
        <f t="shared" si="86"/>
        <v>1.285267447447296</v>
      </c>
      <c r="BH50" s="10">
        <f t="shared" si="86"/>
        <v>1.2505246432316117</v>
      </c>
      <c r="BI50" s="10">
        <f t="shared" si="86"/>
        <v>1.2189401327203107</v>
      </c>
      <c r="BJ50" s="10">
        <f t="shared" si="86"/>
        <v>1.1901248884128413</v>
      </c>
      <c r="BK50" s="10">
        <f t="shared" si="86"/>
        <v>1.1637474358349409</v>
      </c>
      <c r="BL50" s="10">
        <f t="shared" si="86"/>
        <v>1.1395243486555815</v>
      </c>
      <c r="BM50" s="10">
        <f t="shared" si="86"/>
        <v>1.1172123688304811</v>
      </c>
      <c r="BN50" s="10">
        <f t="shared" si="86"/>
        <v>1.0966018997142886</v>
      </c>
      <c r="BO50" s="10">
        <f t="shared" ref="BO50:CG50" si="87">1/((1+(BO$23*(1-(1/(BO$25^2)))))^2+(BO44*(BO$25-(1/BO$25)))^2)^0.5</f>
        <v>1.0775116391540571</v>
      </c>
      <c r="BP50" s="10">
        <f t="shared" si="87"/>
        <v>1.0597841500518028</v>
      </c>
      <c r="BQ50" s="10">
        <f t="shared" si="87"/>
        <v>1.0432821980686571</v>
      </c>
      <c r="BR50" s="10">
        <f t="shared" si="87"/>
        <v>1.0278857158545507</v>
      </c>
      <c r="BS50" s="10">
        <f t="shared" si="87"/>
        <v>1.0134892789398935</v>
      </c>
      <c r="BT50" s="10">
        <f t="shared" si="87"/>
        <v>1</v>
      </c>
      <c r="BU50" s="10">
        <f t="shared" si="87"/>
        <v>0.88115983911680629</v>
      </c>
      <c r="BV50" s="10">
        <f t="shared" si="87"/>
        <v>0.81468073811458297</v>
      </c>
      <c r="BW50" s="10">
        <f t="shared" si="87"/>
        <v>0.77098072997612643</v>
      </c>
      <c r="BX50" s="10">
        <f t="shared" si="87"/>
        <v>0.73884480635708139</v>
      </c>
      <c r="BY50" s="10">
        <f t="shared" si="87"/>
        <v>0.7131965693655673</v>
      </c>
      <c r="BZ50" s="10">
        <f t="shared" si="87"/>
        <v>0.69145991082666902</v>
      </c>
      <c r="CA50" s="10">
        <f t="shared" si="87"/>
        <v>0.67222188892408774</v>
      </c>
      <c r="CB50" s="10">
        <f t="shared" si="87"/>
        <v>0.65466431727377372</v>
      </c>
      <c r="CC50" s="10">
        <f t="shared" si="87"/>
        <v>0.63829494665583164</v>
      </c>
      <c r="CD50" s="10">
        <f t="shared" si="87"/>
        <v>0.62280956930896869</v>
      </c>
      <c r="CE50" s="10">
        <f t="shared" si="87"/>
        <v>0.60801665070027744</v>
      </c>
      <c r="CF50" s="10">
        <f t="shared" si="87"/>
        <v>0.59379402431577666</v>
      </c>
      <c r="CG50" s="10">
        <f t="shared" si="87"/>
        <v>0.58006301128496207</v>
      </c>
      <c r="CH50" s="10">
        <f t="array" aca="1" ref="CH50" ca="1">INDIRECT(CI50)</f>
        <v>0.55728641143329416</v>
      </c>
      <c r="CI50" s="10" t="str">
        <f t="shared" si="76"/>
        <v>$AO$25</v>
      </c>
      <c r="CJ50" s="10">
        <f t="shared" si="77"/>
        <v>41</v>
      </c>
      <c r="CK50" s="10">
        <f t="shared" si="78"/>
        <v>2.627989774957499</v>
      </c>
    </row>
    <row r="51" spans="2:89" ht="16.5" customHeight="1">
      <c r="B51" s="10" t="s">
        <v>811</v>
      </c>
      <c r="C51" s="10">
        <f t="shared" ref="C51:AH51" si="88">1/((1+(C$23*(1-(1/(C$25^2)))))^2+(C45*(C$25-(1/C$25)))^2)^0.5</f>
        <v>2.2187500700338477E-8</v>
      </c>
      <c r="D51" s="10">
        <f t="shared" si="88"/>
        <v>9.8493475729978367E-4</v>
      </c>
      <c r="E51" s="10">
        <f t="shared" si="88"/>
        <v>2.8148596879138282E-3</v>
      </c>
      <c r="F51" s="10">
        <f t="shared" si="88"/>
        <v>5.6000199359348309E-3</v>
      </c>
      <c r="G51" s="10">
        <f t="shared" si="88"/>
        <v>9.3630061475422719E-3</v>
      </c>
      <c r="H51" s="10">
        <f t="shared" si="88"/>
        <v>1.4134759259910513E-2</v>
      </c>
      <c r="I51" s="10">
        <f t="shared" si="88"/>
        <v>1.9955211853492229E-2</v>
      </c>
      <c r="J51" s="10">
        <f t="shared" si="88"/>
        <v>2.6874136474959991E-2</v>
      </c>
      <c r="K51" s="10">
        <f t="shared" si="88"/>
        <v>3.4952235004287555E-2</v>
      </c>
      <c r="L51" s="10">
        <f t="shared" si="88"/>
        <v>4.4262514457151417E-2</v>
      </c>
      <c r="M51" s="10">
        <f t="shared" si="88"/>
        <v>5.4892009023494538E-2</v>
      </c>
      <c r="N51" s="10">
        <f t="shared" si="88"/>
        <v>6.6943926824627367E-2</v>
      </c>
      <c r="O51" s="10">
        <f t="shared" si="88"/>
        <v>8.0540324459977525E-2</v>
      </c>
      <c r="P51" s="10">
        <f t="shared" si="88"/>
        <v>9.5825445211215929E-2</v>
      </c>
      <c r="Q51" s="10">
        <f t="shared" si="88"/>
        <v>0.11296990105663211</v>
      </c>
      <c r="R51" s="10">
        <f t="shared" si="88"/>
        <v>0.13217593916099565</v>
      </c>
      <c r="S51" s="10">
        <f t="shared" si="88"/>
        <v>0.15368411717889352</v>
      </c>
      <c r="T51" s="10">
        <f t="shared" si="88"/>
        <v>0.17778182882038857</v>
      </c>
      <c r="U51" s="10">
        <f t="shared" si="88"/>
        <v>0.20481428712074595</v>
      </c>
      <c r="V51" s="10">
        <f t="shared" si="88"/>
        <v>0.23519881126878214</v>
      </c>
      <c r="W51" s="10">
        <f t="shared" si="88"/>
        <v>0.26944361008891216</v>
      </c>
      <c r="X51" s="10">
        <f t="shared" si="88"/>
        <v>0.30817276852794812</v>
      </c>
      <c r="Y51" s="10">
        <f t="shared" si="88"/>
        <v>0.35215991403562907</v>
      </c>
      <c r="Z51" s="10">
        <f t="shared" si="88"/>
        <v>0.40237421557419933</v>
      </c>
      <c r="AA51" s="10">
        <f t="shared" si="88"/>
        <v>0.4600441931045689</v>
      </c>
      <c r="AB51" s="10">
        <f t="shared" si="88"/>
        <v>0.52674769790634179</v>
      </c>
      <c r="AC51" s="10">
        <f t="shared" si="88"/>
        <v>0.60454105530451652</v>
      </c>
      <c r="AD51" s="10">
        <f t="shared" si="88"/>
        <v>0.69614792006346315</v>
      </c>
      <c r="AE51" s="10">
        <f t="shared" si="88"/>
        <v>0.80524087889014173</v>
      </c>
      <c r="AF51" s="10">
        <f t="shared" si="88"/>
        <v>0.93686951275947361</v>
      </c>
      <c r="AG51" s="10">
        <f t="shared" si="88"/>
        <v>1.0981222501604018</v>
      </c>
      <c r="AH51" s="10">
        <f t="shared" si="88"/>
        <v>1.2991599680400314</v>
      </c>
      <c r="AI51" s="10">
        <f t="shared" ref="AI51:BN51" si="89">1/((1+(AI$23*(1-(1/(AI$25^2)))))^2+(AI45*(AI$25-(1/AI$25)))^2)^0.5</f>
        <v>1.5548157534228186</v>
      </c>
      <c r="AJ51" s="10">
        <f t="shared" si="89"/>
        <v>1.8869191189514538</v>
      </c>
      <c r="AK51" s="10">
        <f t="shared" si="89"/>
        <v>2.3268640443961885</v>
      </c>
      <c r="AL51" s="10">
        <f t="shared" si="89"/>
        <v>2.9144360407834338</v>
      </c>
      <c r="AM51" s="10">
        <f t="shared" si="89"/>
        <v>3.6744632912065973</v>
      </c>
      <c r="AN51" s="10">
        <f t="shared" si="89"/>
        <v>4.5180288456886482</v>
      </c>
      <c r="AO51" s="10">
        <f t="shared" si="89"/>
        <v>5.0810379394232061</v>
      </c>
      <c r="AP51" s="10">
        <f t="shared" si="89"/>
        <v>5.1109612062029326</v>
      </c>
      <c r="AQ51" s="10">
        <f t="shared" si="89"/>
        <v>4.7033915520154848</v>
      </c>
      <c r="AR51" s="10">
        <f t="shared" si="89"/>
        <v>4.0708143010254263</v>
      </c>
      <c r="AS51" s="10">
        <f t="shared" si="89"/>
        <v>3.4932975892721809</v>
      </c>
      <c r="AT51" s="10">
        <f t="shared" si="89"/>
        <v>3.0346902541570548</v>
      </c>
      <c r="AU51" s="10">
        <f t="shared" si="89"/>
        <v>2.6811853884839283</v>
      </c>
      <c r="AV51" s="10">
        <f t="shared" si="89"/>
        <v>2.4072320682235153</v>
      </c>
      <c r="AW51" s="10">
        <f t="shared" si="89"/>
        <v>2.1915278575730013</v>
      </c>
      <c r="AX51" s="10">
        <f t="shared" si="89"/>
        <v>2.018602511136764</v>
      </c>
      <c r="AY51" s="10">
        <f t="shared" si="89"/>
        <v>1.8775594430343145</v>
      </c>
      <c r="AZ51" s="10">
        <f t="shared" si="89"/>
        <v>1.7607073404668594</v>
      </c>
      <c r="BA51" s="10">
        <f t="shared" si="89"/>
        <v>1.662543757192509</v>
      </c>
      <c r="BB51" s="10">
        <f t="shared" si="89"/>
        <v>1.5790641766529949</v>
      </c>
      <c r="BC51" s="10">
        <f t="shared" si="89"/>
        <v>1.5073020647343729</v>
      </c>
      <c r="BD51" s="10">
        <f t="shared" si="89"/>
        <v>1.4450219084763885</v>
      </c>
      <c r="BE51" s="10">
        <f t="shared" si="89"/>
        <v>1.3905119264582848</v>
      </c>
      <c r="BF51" s="10">
        <f t="shared" si="89"/>
        <v>1.3424419209967631</v>
      </c>
      <c r="BG51" s="10">
        <f t="shared" si="89"/>
        <v>1.2997641869874288</v>
      </c>
      <c r="BH51" s="10">
        <f t="shared" si="89"/>
        <v>1.2616432981990255</v>
      </c>
      <c r="BI51" s="10">
        <f t="shared" si="89"/>
        <v>1.227405568111432</v>
      </c>
      <c r="BJ51" s="10">
        <f t="shared" si="89"/>
        <v>1.1965021284180162</v>
      </c>
      <c r="BK51" s="10">
        <f t="shared" si="89"/>
        <v>1.1684815783900475</v>
      </c>
      <c r="BL51" s="10">
        <f t="shared" si="89"/>
        <v>1.142969459852047</v>
      </c>
      <c r="BM51" s="10">
        <f t="shared" si="89"/>
        <v>1.1196526675509908</v>
      </c>
      <c r="BN51" s="10">
        <f t="shared" si="89"/>
        <v>1.0982674747010361</v>
      </c>
      <c r="BO51" s="10">
        <f t="shared" ref="BO51:CG51" si="90">1/((1+(BO$23*(1-(1/(BO$25^2)))))^2+(BO45*(BO$25-(1/BO$25)))^2)^0.5</f>
        <v>1.0785902389871262</v>
      </c>
      <c r="BP51" s="10">
        <f t="shared" si="90"/>
        <v>1.0604301186908529</v>
      </c>
      <c r="BQ51" s="10">
        <f t="shared" si="90"/>
        <v>1.0436233123477057</v>
      </c>
      <c r="BR51" s="10">
        <f t="shared" si="90"/>
        <v>1.0280284646770341</v>
      </c>
      <c r="BS51" s="10">
        <f t="shared" si="90"/>
        <v>1.0135229736574336</v>
      </c>
      <c r="BT51" s="10">
        <f t="shared" si="90"/>
        <v>1</v>
      </c>
      <c r="BU51" s="10">
        <f t="shared" si="90"/>
        <v>0.8841938540015104</v>
      </c>
      <c r="BV51" s="10">
        <f t="shared" si="90"/>
        <v>0.823212384167885</v>
      </c>
      <c r="BW51" s="10">
        <f t="shared" si="90"/>
        <v>0.78585064507277191</v>
      </c>
      <c r="BX51" s="10">
        <f t="shared" si="90"/>
        <v>0.76053088333740138</v>
      </c>
      <c r="BY51" s="10">
        <f t="shared" si="90"/>
        <v>0.74202991897912784</v>
      </c>
      <c r="BZ51" s="10">
        <f t="shared" si="90"/>
        <v>0.72767419220991192</v>
      </c>
      <c r="CA51" s="10">
        <f t="shared" si="90"/>
        <v>0.71596843944997612</v>
      </c>
      <c r="CB51" s="10">
        <f t="shared" si="90"/>
        <v>0.70601985922899657</v>
      </c>
      <c r="CC51" s="10">
        <f t="shared" si="90"/>
        <v>0.69726809741755791</v>
      </c>
      <c r="CD51" s="10">
        <f t="shared" si="90"/>
        <v>0.68934754512369922</v>
      </c>
      <c r="CE51" s="10">
        <f t="shared" si="90"/>
        <v>0.68201229940551977</v>
      </c>
      <c r="CF51" s="10">
        <f t="shared" si="90"/>
        <v>0.67509300785337512</v>
      </c>
      <c r="CG51" s="10">
        <f t="shared" si="90"/>
        <v>0.66847091301282946</v>
      </c>
      <c r="CH51" s="10">
        <f t="array" aca="1" ref="CH51" ca="1">INDIRECT(CI51)</f>
        <v>0.5427936578101058</v>
      </c>
      <c r="CI51" s="10" t="str">
        <f t="shared" si="76"/>
        <v>$AN$25</v>
      </c>
      <c r="CJ51" s="10">
        <f t="shared" si="77"/>
        <v>40</v>
      </c>
      <c r="CK51" s="10">
        <f t="shared" si="78"/>
        <v>5.1109612062029326</v>
      </c>
    </row>
    <row r="52" spans="2:89" ht="16.5" customHeight="1">
      <c r="B52" s="10" t="s">
        <v>812</v>
      </c>
      <c r="C52" s="10">
        <f t="shared" ref="C52:AH52" si="91">1/((1+(C$23*(1-(1/(C$25^2)))))^2+(C46*(C$25-(1/C$25)))^2)^0.5</f>
        <v>2.2187500713167823E-8</v>
      </c>
      <c r="D52" s="10">
        <f t="shared" si="91"/>
        <v>9.8496005274810948E-4</v>
      </c>
      <c r="E52" s="10">
        <f t="shared" si="91"/>
        <v>2.8150665050258998E-3</v>
      </c>
      <c r="F52" s="10">
        <f t="shared" si="91"/>
        <v>5.6008397787206511E-3</v>
      </c>
      <c r="G52" s="10">
        <f t="shared" si="91"/>
        <v>9.3653028220015509E-3</v>
      </c>
      <c r="H52" s="10">
        <f t="shared" si="91"/>
        <v>1.414000745669057E-2</v>
      </c>
      <c r="I52" s="10">
        <f t="shared" si="91"/>
        <v>1.9965706502797911E-2</v>
      </c>
      <c r="J52" s="10">
        <f t="shared" si="91"/>
        <v>2.6893244539240788E-2</v>
      </c>
      <c r="K52" s="10">
        <f t="shared" si="91"/>
        <v>3.4984704538846924E-2</v>
      </c>
      <c r="L52" s="10">
        <f t="shared" si="91"/>
        <v>4.4314860222767781E-2</v>
      </c>
      <c r="M52" s="10">
        <f t="shared" si="91"/>
        <v>5.4973000178374268E-2</v>
      </c>
      <c r="N52" s="10">
        <f t="shared" si="91"/>
        <v>6.7065210994778579E-2</v>
      </c>
      <c r="O52" s="10">
        <f t="shared" si="91"/>
        <v>8.0717234887844783E-2</v>
      </c>
      <c r="P52" s="10">
        <f t="shared" si="91"/>
        <v>9.6078055366703941E-2</v>
      </c>
      <c r="Q52" s="10">
        <f t="shared" si="91"/>
        <v>0.11332441658052457</v>
      </c>
      <c r="R52" s="10">
        <f t="shared" si="91"/>
        <v>0.13266655418359935</v>
      </c>
      <c r="S52" s="10">
        <f t="shared" si="91"/>
        <v>0.15435551700335484</v>
      </c>
      <c r="T52" s="10">
        <f t="shared" si="91"/>
        <v>0.17869260337554815</v>
      </c>
      <c r="U52" s="10">
        <f t="shared" si="91"/>
        <v>0.20604164519488544</v>
      </c>
      <c r="V52" s="10">
        <f t="shared" si="91"/>
        <v>0.23684518033263127</v>
      </c>
      <c r="W52" s="10">
        <f t="shared" si="91"/>
        <v>0.27164601442115377</v>
      </c>
      <c r="X52" s="10">
        <f t="shared" si="91"/>
        <v>0.31111637529039182</v>
      </c>
      <c r="Y52" s="10">
        <f t="shared" si="91"/>
        <v>0.35609795752190199</v>
      </c>
      <c r="Z52" s="10">
        <f t="shared" si="91"/>
        <v>0.40765789948480075</v>
      </c>
      <c r="AA52" s="10">
        <f t="shared" si="91"/>
        <v>0.46716859070870748</v>
      </c>
      <c r="AB52" s="10">
        <f t="shared" si="91"/>
        <v>0.53642401749989987</v>
      </c>
      <c r="AC52" s="10">
        <f t="shared" si="91"/>
        <v>0.61781372542070168</v>
      </c>
      <c r="AD52" s="10">
        <f t="shared" si="91"/>
        <v>0.71459059304844141</v>
      </c>
      <c r="AE52" s="10">
        <f t="shared" si="91"/>
        <v>0.83129708813528691</v>
      </c>
      <c r="AF52" s="10">
        <f t="shared" si="91"/>
        <v>0.97447101909848732</v>
      </c>
      <c r="AG52" s="10">
        <f t="shared" si="91"/>
        <v>1.1538698535344221</v>
      </c>
      <c r="AH52" s="10">
        <f t="shared" si="91"/>
        <v>1.3847175095975472</v>
      </c>
      <c r="AI52" s="10">
        <f t="shared" ref="AI52:BN52" si="92">1/((1+(AI$23*(1-(1/(AI$25^2)))))^2+(AI46*(AI$25-(1/AI$25)))^2)^0.5</f>
        <v>1.6921226000876444</v>
      </c>
      <c r="AJ52" s="10">
        <f t="shared" si="92"/>
        <v>2.1205560694601382</v>
      </c>
      <c r="AK52" s="10">
        <f t="shared" si="92"/>
        <v>2.7566025681081192</v>
      </c>
      <c r="AL52" s="10">
        <f t="shared" si="92"/>
        <v>3.7924223338670222</v>
      </c>
      <c r="AM52" s="10">
        <f t="shared" si="92"/>
        <v>5.7426450248516687</v>
      </c>
      <c r="AN52" s="10">
        <f t="shared" si="92"/>
        <v>10.359630930872948</v>
      </c>
      <c r="AO52" s="10">
        <f t="shared" si="92"/>
        <v>18.961833873441677</v>
      </c>
      <c r="AP52" s="10">
        <f t="shared" si="92"/>
        <v>15.379673943935572</v>
      </c>
      <c r="AQ52" s="10">
        <f t="shared" si="92"/>
        <v>8.3360404504110797</v>
      </c>
      <c r="AR52" s="10">
        <f t="shared" si="92"/>
        <v>5.5470352719087606</v>
      </c>
      <c r="AS52" s="10">
        <f t="shared" si="92"/>
        <v>4.1950812343365325</v>
      </c>
      <c r="AT52" s="10">
        <f t="shared" si="92"/>
        <v>3.4108286637388887</v>
      </c>
      <c r="AU52" s="10">
        <f t="shared" si="92"/>
        <v>2.9017030712214553</v>
      </c>
      <c r="AV52" s="10">
        <f t="shared" si="92"/>
        <v>2.5455118360585614</v>
      </c>
      <c r="AW52" s="10">
        <f t="shared" si="92"/>
        <v>2.2827800132363918</v>
      </c>
      <c r="AX52" s="10">
        <f t="shared" si="92"/>
        <v>2.0812281092786371</v>
      </c>
      <c r="AY52" s="10">
        <f t="shared" si="92"/>
        <v>1.9218645948226756</v>
      </c>
      <c r="AZ52" s="10">
        <f t="shared" si="92"/>
        <v>1.7928013781502843</v>
      </c>
      <c r="BA52" s="10">
        <f t="shared" si="92"/>
        <v>1.686222765260543</v>
      </c>
      <c r="BB52" s="10">
        <f t="shared" si="92"/>
        <v>1.5967819724425472</v>
      </c>
      <c r="BC52" s="10">
        <f t="shared" si="92"/>
        <v>1.5206989598556477</v>
      </c>
      <c r="BD52" s="10">
        <f t="shared" si="92"/>
        <v>1.4552264598951368</v>
      </c>
      <c r="BE52" s="10">
        <f t="shared" si="92"/>
        <v>1.398320231219685</v>
      </c>
      <c r="BF52" s="10">
        <f t="shared" si="92"/>
        <v>1.3484279534165007</v>
      </c>
      <c r="BG52" s="10">
        <f t="shared" si="92"/>
        <v>1.3043498187176779</v>
      </c>
      <c r="BH52" s="10">
        <f t="shared" si="92"/>
        <v>1.2651439542812635</v>
      </c>
      <c r="BI52" s="10">
        <f t="shared" si="92"/>
        <v>1.2300607221969388</v>
      </c>
      <c r="BJ52" s="10">
        <f t="shared" si="92"/>
        <v>1.1984961144968458</v>
      </c>
      <c r="BK52" s="10">
        <f t="shared" si="92"/>
        <v>1.1699580710806672</v>
      </c>
      <c r="BL52" s="10">
        <f t="shared" si="92"/>
        <v>1.1440417267398451</v>
      </c>
      <c r="BM52" s="10">
        <f t="shared" si="92"/>
        <v>1.1204109438069751</v>
      </c>
      <c r="BN52" s="10">
        <f t="shared" si="92"/>
        <v>1.0987843447032364</v>
      </c>
      <c r="BO52" s="10">
        <f t="shared" ref="BO52:CG52" si="93">1/((1+(BO$23*(1-(1/(BO$25^2)))))^2+(BO46*(BO$25-(1/BO$25)))^2)^0.5</f>
        <v>1.0789246156167689</v>
      </c>
      <c r="BP52" s="10">
        <f t="shared" si="93"/>
        <v>1.0606302214788448</v>
      </c>
      <c r="BQ52" s="10">
        <f t="shared" si="93"/>
        <v>1.043728921268984</v>
      </c>
      <c r="BR52" s="10">
        <f t="shared" si="93"/>
        <v>1.028072643365034</v>
      </c>
      <c r="BS52" s="10">
        <f t="shared" si="93"/>
        <v>1.0135333995200948</v>
      </c>
      <c r="BT52" s="10">
        <f t="shared" si="93"/>
        <v>1</v>
      </c>
      <c r="BU52" s="10">
        <f t="shared" si="93"/>
        <v>0.88513894851460884</v>
      </c>
      <c r="BV52" s="10">
        <f t="shared" si="93"/>
        <v>0.82590686690832937</v>
      </c>
      <c r="BW52" s="10">
        <f t="shared" si="93"/>
        <v>0.7906285952593024</v>
      </c>
      <c r="BX52" s="10">
        <f t="shared" si="93"/>
        <v>0.76763725269209448</v>
      </c>
      <c r="BY52" s="10">
        <f t="shared" si="93"/>
        <v>0.75168448196567961</v>
      </c>
      <c r="BZ52" s="10">
        <f t="shared" si="93"/>
        <v>0.74008498425962455</v>
      </c>
      <c r="CA52" s="10">
        <f t="shared" si="93"/>
        <v>0.73133448128406753</v>
      </c>
      <c r="CB52" s="10">
        <f t="shared" si="93"/>
        <v>0.72453129201501121</v>
      </c>
      <c r="CC52" s="10">
        <f t="shared" si="93"/>
        <v>0.71910571863214678</v>
      </c>
      <c r="CD52" s="10">
        <f t="shared" si="93"/>
        <v>0.71468228140474799</v>
      </c>
      <c r="CE52" s="10">
        <f t="shared" si="93"/>
        <v>0.71100476140634672</v>
      </c>
      <c r="CF52" s="10">
        <f t="shared" si="93"/>
        <v>0.70789315897078198</v>
      </c>
      <c r="CG52" s="10">
        <f t="shared" si="93"/>
        <v>0.7052178507198309</v>
      </c>
      <c r="CH52" s="10">
        <f t="array" aca="1" ref="CH52" ca="1">INDIRECT(CI52)</f>
        <v>0.52830090418691744</v>
      </c>
      <c r="CI52" s="10" t="str">
        <f t="shared" si="76"/>
        <v>$AM$25</v>
      </c>
      <c r="CJ52" s="10">
        <f t="shared" si="77"/>
        <v>39</v>
      </c>
      <c r="CK52" s="10">
        <f t="shared" si="78"/>
        <v>18.961833873441677</v>
      </c>
    </row>
    <row r="53" spans="2:89" ht="16.5" customHeight="1">
      <c r="B53" s="10" t="s">
        <v>813</v>
      </c>
      <c r="C53" s="10">
        <f t="shared" ref="C53:AH53" si="94">2*C$10*(C$5+C$11*C$6)/(SQRT(2)*C$7*SIN(C33))</f>
        <v>1.0167142857142859</v>
      </c>
      <c r="D53" s="10">
        <f t="shared" si="94"/>
        <v>1.0167142857142859</v>
      </c>
      <c r="E53" s="10">
        <f t="shared" si="94"/>
        <v>1.0167142857142859</v>
      </c>
      <c r="F53" s="10">
        <f t="shared" si="94"/>
        <v>1.0167142857142859</v>
      </c>
      <c r="G53" s="10">
        <f t="shared" si="94"/>
        <v>1.0167142857142859</v>
      </c>
      <c r="H53" s="10">
        <f t="shared" si="94"/>
        <v>1.0167142857142859</v>
      </c>
      <c r="I53" s="10">
        <f t="shared" si="94"/>
        <v>1.0167142857142859</v>
      </c>
      <c r="J53" s="10">
        <f t="shared" si="94"/>
        <v>1.0167142857142859</v>
      </c>
      <c r="K53" s="10">
        <f t="shared" si="94"/>
        <v>1.0167142857142859</v>
      </c>
      <c r="L53" s="10">
        <f t="shared" si="94"/>
        <v>1.0167142857142859</v>
      </c>
      <c r="M53" s="10">
        <f t="shared" si="94"/>
        <v>1.0167142857142859</v>
      </c>
      <c r="N53" s="10">
        <f t="shared" si="94"/>
        <v>1.0167142857142859</v>
      </c>
      <c r="O53" s="10">
        <f t="shared" si="94"/>
        <v>1.0167142857142859</v>
      </c>
      <c r="P53" s="10">
        <f t="shared" si="94"/>
        <v>1.0167142857142859</v>
      </c>
      <c r="Q53" s="10">
        <f t="shared" si="94"/>
        <v>1.0167142857142859</v>
      </c>
      <c r="R53" s="10">
        <f t="shared" si="94"/>
        <v>1.0167142857142859</v>
      </c>
      <c r="S53" s="10">
        <f t="shared" si="94"/>
        <v>1.0167142857142859</v>
      </c>
      <c r="T53" s="10">
        <f t="shared" si="94"/>
        <v>1.0167142857142859</v>
      </c>
      <c r="U53" s="10">
        <f t="shared" si="94"/>
        <v>1.0167142857142859</v>
      </c>
      <c r="V53" s="10">
        <f t="shared" si="94"/>
        <v>1.0167142857142859</v>
      </c>
      <c r="W53" s="10">
        <f t="shared" si="94"/>
        <v>1.0167142857142859</v>
      </c>
      <c r="X53" s="10">
        <f t="shared" si="94"/>
        <v>1.0167142857142859</v>
      </c>
      <c r="Y53" s="10">
        <f t="shared" si="94"/>
        <v>1.0167142857142859</v>
      </c>
      <c r="Z53" s="10">
        <f t="shared" si="94"/>
        <v>1.0167142857142859</v>
      </c>
      <c r="AA53" s="10">
        <f t="shared" si="94"/>
        <v>1.0167142857142859</v>
      </c>
      <c r="AB53" s="10">
        <f t="shared" si="94"/>
        <v>1.0167142857142859</v>
      </c>
      <c r="AC53" s="10">
        <f t="shared" si="94"/>
        <v>1.0167142857142859</v>
      </c>
      <c r="AD53" s="10">
        <f t="shared" si="94"/>
        <v>1.0167142857142859</v>
      </c>
      <c r="AE53" s="10">
        <f t="shared" si="94"/>
        <v>1.0167142857142859</v>
      </c>
      <c r="AF53" s="10">
        <f t="shared" si="94"/>
        <v>1.0167142857142859</v>
      </c>
      <c r="AG53" s="10">
        <f t="shared" si="94"/>
        <v>1.0167142857142859</v>
      </c>
      <c r="AH53" s="10">
        <f t="shared" si="94"/>
        <v>1.0167142857142859</v>
      </c>
      <c r="AI53" s="10">
        <f t="shared" ref="AI53:BN53" si="95">2*AI$10*(AI$5+AI$11*AI$6)/(SQRT(2)*AI$7*SIN(AI33))</f>
        <v>1.0167142857142859</v>
      </c>
      <c r="AJ53" s="10">
        <f t="shared" si="95"/>
        <v>1.0167142857142859</v>
      </c>
      <c r="AK53" s="10">
        <f t="shared" si="95"/>
        <v>1.0167142857142859</v>
      </c>
      <c r="AL53" s="10">
        <f t="shared" si="95"/>
        <v>1.0167142857142859</v>
      </c>
      <c r="AM53" s="10">
        <f t="shared" si="95"/>
        <v>1.0167142857142859</v>
      </c>
      <c r="AN53" s="10">
        <f t="shared" si="95"/>
        <v>1.0167142857142859</v>
      </c>
      <c r="AO53" s="10">
        <f t="shared" si="95"/>
        <v>1.0167142857142859</v>
      </c>
      <c r="AP53" s="10">
        <f t="shared" si="95"/>
        <v>1.0167142857142859</v>
      </c>
      <c r="AQ53" s="10">
        <f t="shared" si="95"/>
        <v>1.0167142857142859</v>
      </c>
      <c r="AR53" s="10">
        <f t="shared" si="95"/>
        <v>1.0167142857142859</v>
      </c>
      <c r="AS53" s="10">
        <f t="shared" si="95"/>
        <v>1.0167142857142859</v>
      </c>
      <c r="AT53" s="10">
        <f t="shared" si="95"/>
        <v>1.0167142857142859</v>
      </c>
      <c r="AU53" s="10">
        <f t="shared" si="95"/>
        <v>1.0167142857142859</v>
      </c>
      <c r="AV53" s="10">
        <f t="shared" si="95"/>
        <v>1.0167142857142859</v>
      </c>
      <c r="AW53" s="10">
        <f t="shared" si="95"/>
        <v>1.0167142857142859</v>
      </c>
      <c r="AX53" s="10">
        <f t="shared" si="95"/>
        <v>1.0167142857142859</v>
      </c>
      <c r="AY53" s="10">
        <f t="shared" si="95"/>
        <v>1.0167142857142859</v>
      </c>
      <c r="AZ53" s="10">
        <f t="shared" si="95"/>
        <v>1.0167142857142859</v>
      </c>
      <c r="BA53" s="10">
        <f t="shared" si="95"/>
        <v>1.0167142857142859</v>
      </c>
      <c r="BB53" s="10">
        <f t="shared" si="95"/>
        <v>1.0167142857142859</v>
      </c>
      <c r="BC53" s="10">
        <f t="shared" si="95"/>
        <v>1.0167142857142859</v>
      </c>
      <c r="BD53" s="10">
        <f t="shared" si="95"/>
        <v>1.0167142857142859</v>
      </c>
      <c r="BE53" s="10">
        <f t="shared" si="95"/>
        <v>1.0167142857142859</v>
      </c>
      <c r="BF53" s="10">
        <f t="shared" si="95"/>
        <v>1.0167142857142859</v>
      </c>
      <c r="BG53" s="10">
        <f t="shared" si="95"/>
        <v>1.0167142857142859</v>
      </c>
      <c r="BH53" s="10">
        <f t="shared" si="95"/>
        <v>1.0167142857142859</v>
      </c>
      <c r="BI53" s="10">
        <f t="shared" si="95"/>
        <v>1.0167142857142859</v>
      </c>
      <c r="BJ53" s="10">
        <f t="shared" si="95"/>
        <v>1.0167142857142859</v>
      </c>
      <c r="BK53" s="10">
        <f t="shared" si="95"/>
        <v>1.0167142857142859</v>
      </c>
      <c r="BL53" s="10">
        <f t="shared" si="95"/>
        <v>1.0167142857142859</v>
      </c>
      <c r="BM53" s="10">
        <f t="shared" si="95"/>
        <v>1.0167142857142859</v>
      </c>
      <c r="BN53" s="10">
        <f t="shared" si="95"/>
        <v>1.0167142857142859</v>
      </c>
      <c r="BO53" s="10">
        <f t="shared" ref="BO53:CG53" si="96">2*BO$10*(BO$5+BO$11*BO$6)/(SQRT(2)*BO$7*SIN(BO33))</f>
        <v>1.0167142857142859</v>
      </c>
      <c r="BP53" s="10">
        <f t="shared" si="96"/>
        <v>1.0167142857142859</v>
      </c>
      <c r="BQ53" s="10">
        <f t="shared" si="96"/>
        <v>1.0167142857142859</v>
      </c>
      <c r="BR53" s="10">
        <f t="shared" si="96"/>
        <v>1.0167142857142859</v>
      </c>
      <c r="BS53" s="10">
        <f t="shared" si="96"/>
        <v>1.0167142857142859</v>
      </c>
      <c r="BT53" s="10">
        <f t="shared" si="96"/>
        <v>1.0167142857142859</v>
      </c>
      <c r="BU53" s="10">
        <f t="shared" si="96"/>
        <v>1.0167142857142859</v>
      </c>
      <c r="BV53" s="10">
        <f t="shared" si="96"/>
        <v>1.0167142857142859</v>
      </c>
      <c r="BW53" s="10">
        <f t="shared" si="96"/>
        <v>1.0167142857142859</v>
      </c>
      <c r="BX53" s="10">
        <f t="shared" si="96"/>
        <v>1.0167142857142859</v>
      </c>
      <c r="BY53" s="10">
        <f t="shared" si="96"/>
        <v>1.0167142857142859</v>
      </c>
      <c r="BZ53" s="10">
        <f t="shared" si="96"/>
        <v>1.0167142857142859</v>
      </c>
      <c r="CA53" s="10">
        <f t="shared" si="96"/>
        <v>1.0167142857142859</v>
      </c>
      <c r="CB53" s="10">
        <f t="shared" si="96"/>
        <v>1.0167142857142859</v>
      </c>
      <c r="CC53" s="10">
        <f t="shared" si="96"/>
        <v>1.0167142857142859</v>
      </c>
      <c r="CD53" s="10">
        <f t="shared" si="96"/>
        <v>1.0167142857142859</v>
      </c>
      <c r="CE53" s="10">
        <f t="shared" si="96"/>
        <v>1.0167142857142859</v>
      </c>
      <c r="CF53" s="10">
        <f t="shared" si="96"/>
        <v>1.0167142857142859</v>
      </c>
      <c r="CG53" s="10">
        <f t="shared" si="96"/>
        <v>1.0167142857142859</v>
      </c>
    </row>
    <row r="54" spans="2:89" ht="16.5" customHeight="1">
      <c r="B54" s="10" t="s">
        <v>814</v>
      </c>
      <c r="C54" s="10">
        <f t="shared" ref="C54:AH54" si="97">2*C$10*(C$5+C$11*C$6)/(SQRT(2)*C$7*SIN(C34))</f>
        <v>1.0525800822826519</v>
      </c>
      <c r="D54" s="10">
        <f t="shared" si="97"/>
        <v>1.0525800822826519</v>
      </c>
      <c r="E54" s="10">
        <f t="shared" si="97"/>
        <v>1.0525800822826519</v>
      </c>
      <c r="F54" s="10">
        <f t="shared" si="97"/>
        <v>1.0525800822826519</v>
      </c>
      <c r="G54" s="10">
        <f t="shared" si="97"/>
        <v>1.0525800822826519</v>
      </c>
      <c r="H54" s="10">
        <f t="shared" si="97"/>
        <v>1.0525800822826519</v>
      </c>
      <c r="I54" s="10">
        <f t="shared" si="97"/>
        <v>1.0525800822826519</v>
      </c>
      <c r="J54" s="10">
        <f t="shared" si="97"/>
        <v>1.0525800822826519</v>
      </c>
      <c r="K54" s="10">
        <f t="shared" si="97"/>
        <v>1.0525800822826519</v>
      </c>
      <c r="L54" s="10">
        <f t="shared" si="97"/>
        <v>1.0525800822826519</v>
      </c>
      <c r="M54" s="10">
        <f t="shared" si="97"/>
        <v>1.0525800822826519</v>
      </c>
      <c r="N54" s="10">
        <f t="shared" si="97"/>
        <v>1.0525800822826519</v>
      </c>
      <c r="O54" s="10">
        <f t="shared" si="97"/>
        <v>1.0525800822826519</v>
      </c>
      <c r="P54" s="10">
        <f t="shared" si="97"/>
        <v>1.0525800822826519</v>
      </c>
      <c r="Q54" s="10">
        <f t="shared" si="97"/>
        <v>1.0525800822826519</v>
      </c>
      <c r="R54" s="10">
        <f t="shared" si="97"/>
        <v>1.0525800822826519</v>
      </c>
      <c r="S54" s="10">
        <f t="shared" si="97"/>
        <v>1.0525800822826519</v>
      </c>
      <c r="T54" s="10">
        <f t="shared" si="97"/>
        <v>1.0525800822826519</v>
      </c>
      <c r="U54" s="10">
        <f t="shared" si="97"/>
        <v>1.0525800822826519</v>
      </c>
      <c r="V54" s="10">
        <f t="shared" si="97"/>
        <v>1.0525800822826519</v>
      </c>
      <c r="W54" s="10">
        <f t="shared" si="97"/>
        <v>1.0525800822826519</v>
      </c>
      <c r="X54" s="10">
        <f t="shared" si="97"/>
        <v>1.0525800822826519</v>
      </c>
      <c r="Y54" s="10">
        <f t="shared" si="97"/>
        <v>1.0525800822826519</v>
      </c>
      <c r="Z54" s="10">
        <f t="shared" si="97"/>
        <v>1.0525800822826519</v>
      </c>
      <c r="AA54" s="10">
        <f t="shared" si="97"/>
        <v>1.0525800822826519</v>
      </c>
      <c r="AB54" s="10">
        <f t="shared" si="97"/>
        <v>1.0525800822826519</v>
      </c>
      <c r="AC54" s="10">
        <f t="shared" si="97"/>
        <v>1.0525800822826519</v>
      </c>
      <c r="AD54" s="10">
        <f t="shared" si="97"/>
        <v>1.0525800822826519</v>
      </c>
      <c r="AE54" s="10">
        <f t="shared" si="97"/>
        <v>1.0525800822826519</v>
      </c>
      <c r="AF54" s="10">
        <f t="shared" si="97"/>
        <v>1.0525800822826519</v>
      </c>
      <c r="AG54" s="10">
        <f t="shared" si="97"/>
        <v>1.0525800822826519</v>
      </c>
      <c r="AH54" s="10">
        <f t="shared" si="97"/>
        <v>1.0525800822826519</v>
      </c>
      <c r="AI54" s="10">
        <f t="shared" ref="AI54:BN54" si="98">2*AI$10*(AI$5+AI$11*AI$6)/(SQRT(2)*AI$7*SIN(AI34))</f>
        <v>1.0525800822826519</v>
      </c>
      <c r="AJ54" s="10">
        <f t="shared" si="98"/>
        <v>1.0525800822826519</v>
      </c>
      <c r="AK54" s="10">
        <f t="shared" si="98"/>
        <v>1.0525800822826519</v>
      </c>
      <c r="AL54" s="10">
        <f t="shared" si="98"/>
        <v>1.0525800822826519</v>
      </c>
      <c r="AM54" s="10">
        <f t="shared" si="98"/>
        <v>1.0525800822826519</v>
      </c>
      <c r="AN54" s="10">
        <f t="shared" si="98"/>
        <v>1.0525800822826519</v>
      </c>
      <c r="AO54" s="10">
        <f t="shared" si="98"/>
        <v>1.0525800822826519</v>
      </c>
      <c r="AP54" s="10">
        <f t="shared" si="98"/>
        <v>1.0525800822826519</v>
      </c>
      <c r="AQ54" s="10">
        <f t="shared" si="98"/>
        <v>1.0525800822826519</v>
      </c>
      <c r="AR54" s="10">
        <f t="shared" si="98"/>
        <v>1.0525800822826519</v>
      </c>
      <c r="AS54" s="10">
        <f t="shared" si="98"/>
        <v>1.0525800822826519</v>
      </c>
      <c r="AT54" s="10">
        <f t="shared" si="98"/>
        <v>1.0525800822826519</v>
      </c>
      <c r="AU54" s="10">
        <f t="shared" si="98"/>
        <v>1.0525800822826519</v>
      </c>
      <c r="AV54" s="10">
        <f t="shared" si="98"/>
        <v>1.0525800822826519</v>
      </c>
      <c r="AW54" s="10">
        <f t="shared" si="98"/>
        <v>1.0525800822826519</v>
      </c>
      <c r="AX54" s="10">
        <f t="shared" si="98"/>
        <v>1.0525800822826519</v>
      </c>
      <c r="AY54" s="10">
        <f t="shared" si="98"/>
        <v>1.0525800822826519</v>
      </c>
      <c r="AZ54" s="10">
        <f t="shared" si="98"/>
        <v>1.0525800822826519</v>
      </c>
      <c r="BA54" s="10">
        <f t="shared" si="98"/>
        <v>1.0525800822826519</v>
      </c>
      <c r="BB54" s="10">
        <f t="shared" si="98"/>
        <v>1.0525800822826519</v>
      </c>
      <c r="BC54" s="10">
        <f t="shared" si="98"/>
        <v>1.0525800822826519</v>
      </c>
      <c r="BD54" s="10">
        <f t="shared" si="98"/>
        <v>1.0525800822826519</v>
      </c>
      <c r="BE54" s="10">
        <f t="shared" si="98"/>
        <v>1.0525800822826519</v>
      </c>
      <c r="BF54" s="10">
        <f t="shared" si="98"/>
        <v>1.0525800822826519</v>
      </c>
      <c r="BG54" s="10">
        <f t="shared" si="98"/>
        <v>1.0525800822826519</v>
      </c>
      <c r="BH54" s="10">
        <f t="shared" si="98"/>
        <v>1.0525800822826519</v>
      </c>
      <c r="BI54" s="10">
        <f t="shared" si="98"/>
        <v>1.0525800822826519</v>
      </c>
      <c r="BJ54" s="10">
        <f t="shared" si="98"/>
        <v>1.0525800822826519</v>
      </c>
      <c r="BK54" s="10">
        <f t="shared" si="98"/>
        <v>1.0525800822826519</v>
      </c>
      <c r="BL54" s="10">
        <f t="shared" si="98"/>
        <v>1.0525800822826519</v>
      </c>
      <c r="BM54" s="10">
        <f t="shared" si="98"/>
        <v>1.0525800822826519</v>
      </c>
      <c r="BN54" s="10">
        <f t="shared" si="98"/>
        <v>1.0525800822826519</v>
      </c>
      <c r="BO54" s="10">
        <f t="shared" ref="BO54:CG54" si="99">2*BO$10*(BO$5+BO$11*BO$6)/(SQRT(2)*BO$7*SIN(BO34))</f>
        <v>1.0525800822826519</v>
      </c>
      <c r="BP54" s="10">
        <f t="shared" si="99"/>
        <v>1.0525800822826519</v>
      </c>
      <c r="BQ54" s="10">
        <f t="shared" si="99"/>
        <v>1.0525800822826519</v>
      </c>
      <c r="BR54" s="10">
        <f t="shared" si="99"/>
        <v>1.0525800822826519</v>
      </c>
      <c r="BS54" s="10">
        <f t="shared" si="99"/>
        <v>1.0525800822826519</v>
      </c>
      <c r="BT54" s="10">
        <f t="shared" si="99"/>
        <v>1.0525800822826519</v>
      </c>
      <c r="BU54" s="10">
        <f t="shared" si="99"/>
        <v>1.0525800822826519</v>
      </c>
      <c r="BV54" s="10">
        <f t="shared" si="99"/>
        <v>1.0525800822826519</v>
      </c>
      <c r="BW54" s="10">
        <f t="shared" si="99"/>
        <v>1.0525800822826519</v>
      </c>
      <c r="BX54" s="10">
        <f t="shared" si="99"/>
        <v>1.0525800822826519</v>
      </c>
      <c r="BY54" s="10">
        <f t="shared" si="99"/>
        <v>1.0525800822826519</v>
      </c>
      <c r="BZ54" s="10">
        <f t="shared" si="99"/>
        <v>1.0525800822826519</v>
      </c>
      <c r="CA54" s="10">
        <f t="shared" si="99"/>
        <v>1.0525800822826519</v>
      </c>
      <c r="CB54" s="10">
        <f t="shared" si="99"/>
        <v>1.0525800822826519</v>
      </c>
      <c r="CC54" s="10">
        <f t="shared" si="99"/>
        <v>1.0525800822826519</v>
      </c>
      <c r="CD54" s="10">
        <f t="shared" si="99"/>
        <v>1.0525800822826519</v>
      </c>
      <c r="CE54" s="10">
        <f t="shared" si="99"/>
        <v>1.0525800822826519</v>
      </c>
      <c r="CF54" s="10">
        <f t="shared" si="99"/>
        <v>1.0525800822826519</v>
      </c>
      <c r="CG54" s="10">
        <f t="shared" si="99"/>
        <v>1.0525800822826519</v>
      </c>
    </row>
    <row r="55" spans="2:89" ht="16.5" customHeight="1">
      <c r="B55" s="10" t="s">
        <v>815</v>
      </c>
      <c r="C55" s="10">
        <f t="shared" ref="C55:AH55" si="100">2*C$10*(C$5+C$11*C$6)/(SQRT(2)*C$7*SIN(C35))</f>
        <v>1.1740005330921621</v>
      </c>
      <c r="D55" s="10">
        <f t="shared" si="100"/>
        <v>1.1740005330921621</v>
      </c>
      <c r="E55" s="10">
        <f t="shared" si="100"/>
        <v>1.1740005330921621</v>
      </c>
      <c r="F55" s="10">
        <f t="shared" si="100"/>
        <v>1.1740005330921621</v>
      </c>
      <c r="G55" s="10">
        <f t="shared" si="100"/>
        <v>1.1740005330921621</v>
      </c>
      <c r="H55" s="10">
        <f t="shared" si="100"/>
        <v>1.1740005330921621</v>
      </c>
      <c r="I55" s="10">
        <f t="shared" si="100"/>
        <v>1.1740005330921621</v>
      </c>
      <c r="J55" s="10">
        <f t="shared" si="100"/>
        <v>1.1740005330921621</v>
      </c>
      <c r="K55" s="10">
        <f t="shared" si="100"/>
        <v>1.1740005330921621</v>
      </c>
      <c r="L55" s="10">
        <f t="shared" si="100"/>
        <v>1.1740005330921621</v>
      </c>
      <c r="M55" s="10">
        <f t="shared" si="100"/>
        <v>1.1740005330921621</v>
      </c>
      <c r="N55" s="10">
        <f t="shared" si="100"/>
        <v>1.1740005330921621</v>
      </c>
      <c r="O55" s="10">
        <f t="shared" si="100"/>
        <v>1.1740005330921621</v>
      </c>
      <c r="P55" s="10">
        <f t="shared" si="100"/>
        <v>1.1740005330921621</v>
      </c>
      <c r="Q55" s="10">
        <f t="shared" si="100"/>
        <v>1.1740005330921621</v>
      </c>
      <c r="R55" s="10">
        <f t="shared" si="100"/>
        <v>1.1740005330921621</v>
      </c>
      <c r="S55" s="10">
        <f t="shared" si="100"/>
        <v>1.1740005330921621</v>
      </c>
      <c r="T55" s="10">
        <f t="shared" si="100"/>
        <v>1.1740005330921621</v>
      </c>
      <c r="U55" s="10">
        <f t="shared" si="100"/>
        <v>1.1740005330921621</v>
      </c>
      <c r="V55" s="10">
        <f t="shared" si="100"/>
        <v>1.1740005330921621</v>
      </c>
      <c r="W55" s="10">
        <f t="shared" si="100"/>
        <v>1.1740005330921621</v>
      </c>
      <c r="X55" s="10">
        <f t="shared" si="100"/>
        <v>1.1740005330921621</v>
      </c>
      <c r="Y55" s="10">
        <f t="shared" si="100"/>
        <v>1.1740005330921621</v>
      </c>
      <c r="Z55" s="10">
        <f t="shared" si="100"/>
        <v>1.1740005330921621</v>
      </c>
      <c r="AA55" s="10">
        <f t="shared" si="100"/>
        <v>1.1740005330921621</v>
      </c>
      <c r="AB55" s="10">
        <f t="shared" si="100"/>
        <v>1.1740005330921621</v>
      </c>
      <c r="AC55" s="10">
        <f t="shared" si="100"/>
        <v>1.1740005330921621</v>
      </c>
      <c r="AD55" s="10">
        <f t="shared" si="100"/>
        <v>1.1740005330921621</v>
      </c>
      <c r="AE55" s="10">
        <f t="shared" si="100"/>
        <v>1.1740005330921621</v>
      </c>
      <c r="AF55" s="10">
        <f t="shared" si="100"/>
        <v>1.1740005330921621</v>
      </c>
      <c r="AG55" s="10">
        <f t="shared" si="100"/>
        <v>1.1740005330921621</v>
      </c>
      <c r="AH55" s="10">
        <f t="shared" si="100"/>
        <v>1.1740005330921621</v>
      </c>
      <c r="AI55" s="10">
        <f t="shared" ref="AI55:BN55" si="101">2*AI$10*(AI$5+AI$11*AI$6)/(SQRT(2)*AI$7*SIN(AI35))</f>
        <v>1.1740005330921621</v>
      </c>
      <c r="AJ55" s="10">
        <f t="shared" si="101"/>
        <v>1.1740005330921621</v>
      </c>
      <c r="AK55" s="10">
        <f t="shared" si="101"/>
        <v>1.1740005330921621</v>
      </c>
      <c r="AL55" s="10">
        <f t="shared" si="101"/>
        <v>1.1740005330921621</v>
      </c>
      <c r="AM55" s="10">
        <f t="shared" si="101"/>
        <v>1.1740005330921621</v>
      </c>
      <c r="AN55" s="10">
        <f t="shared" si="101"/>
        <v>1.1740005330921621</v>
      </c>
      <c r="AO55" s="10">
        <f t="shared" si="101"/>
        <v>1.1740005330921621</v>
      </c>
      <c r="AP55" s="10">
        <f t="shared" si="101"/>
        <v>1.1740005330921621</v>
      </c>
      <c r="AQ55" s="10">
        <f t="shared" si="101"/>
        <v>1.1740005330921621</v>
      </c>
      <c r="AR55" s="10">
        <f t="shared" si="101"/>
        <v>1.1740005330921621</v>
      </c>
      <c r="AS55" s="10">
        <f t="shared" si="101"/>
        <v>1.1740005330921621</v>
      </c>
      <c r="AT55" s="10">
        <f t="shared" si="101"/>
        <v>1.1740005330921621</v>
      </c>
      <c r="AU55" s="10">
        <f t="shared" si="101"/>
        <v>1.1740005330921621</v>
      </c>
      <c r="AV55" s="10">
        <f t="shared" si="101"/>
        <v>1.1740005330921621</v>
      </c>
      <c r="AW55" s="10">
        <f t="shared" si="101"/>
        <v>1.1740005330921621</v>
      </c>
      <c r="AX55" s="10">
        <f t="shared" si="101"/>
        <v>1.1740005330921621</v>
      </c>
      <c r="AY55" s="10">
        <f t="shared" si="101"/>
        <v>1.1740005330921621</v>
      </c>
      <c r="AZ55" s="10">
        <f t="shared" si="101"/>
        <v>1.1740005330921621</v>
      </c>
      <c r="BA55" s="10">
        <f t="shared" si="101"/>
        <v>1.1740005330921621</v>
      </c>
      <c r="BB55" s="10">
        <f t="shared" si="101"/>
        <v>1.1740005330921621</v>
      </c>
      <c r="BC55" s="10">
        <f t="shared" si="101"/>
        <v>1.1740005330921621</v>
      </c>
      <c r="BD55" s="10">
        <f t="shared" si="101"/>
        <v>1.1740005330921621</v>
      </c>
      <c r="BE55" s="10">
        <f t="shared" si="101"/>
        <v>1.1740005330921621</v>
      </c>
      <c r="BF55" s="10">
        <f t="shared" si="101"/>
        <v>1.1740005330921621</v>
      </c>
      <c r="BG55" s="10">
        <f t="shared" si="101"/>
        <v>1.1740005330921621</v>
      </c>
      <c r="BH55" s="10">
        <f t="shared" si="101"/>
        <v>1.1740005330921621</v>
      </c>
      <c r="BI55" s="10">
        <f t="shared" si="101"/>
        <v>1.1740005330921621</v>
      </c>
      <c r="BJ55" s="10">
        <f t="shared" si="101"/>
        <v>1.1740005330921621</v>
      </c>
      <c r="BK55" s="10">
        <f t="shared" si="101"/>
        <v>1.1740005330921621</v>
      </c>
      <c r="BL55" s="10">
        <f t="shared" si="101"/>
        <v>1.1740005330921621</v>
      </c>
      <c r="BM55" s="10">
        <f t="shared" si="101"/>
        <v>1.1740005330921621</v>
      </c>
      <c r="BN55" s="10">
        <f t="shared" si="101"/>
        <v>1.1740005330921621</v>
      </c>
      <c r="BO55" s="10">
        <f t="shared" ref="BO55:CG55" si="102">2*BO$10*(BO$5+BO$11*BO$6)/(SQRT(2)*BO$7*SIN(BO35))</f>
        <v>1.1740005330921621</v>
      </c>
      <c r="BP55" s="10">
        <f t="shared" si="102"/>
        <v>1.1740005330921621</v>
      </c>
      <c r="BQ55" s="10">
        <f t="shared" si="102"/>
        <v>1.1740005330921621</v>
      </c>
      <c r="BR55" s="10">
        <f t="shared" si="102"/>
        <v>1.1740005330921621</v>
      </c>
      <c r="BS55" s="10">
        <f t="shared" si="102"/>
        <v>1.1740005330921621</v>
      </c>
      <c r="BT55" s="10">
        <f t="shared" si="102"/>
        <v>1.1740005330921621</v>
      </c>
      <c r="BU55" s="10">
        <f t="shared" si="102"/>
        <v>1.1740005330921621</v>
      </c>
      <c r="BV55" s="10">
        <f t="shared" si="102"/>
        <v>1.1740005330921621</v>
      </c>
      <c r="BW55" s="10">
        <f t="shared" si="102"/>
        <v>1.1740005330921621</v>
      </c>
      <c r="BX55" s="10">
        <f t="shared" si="102"/>
        <v>1.1740005330921621</v>
      </c>
      <c r="BY55" s="10">
        <f t="shared" si="102"/>
        <v>1.1740005330921621</v>
      </c>
      <c r="BZ55" s="10">
        <f t="shared" si="102"/>
        <v>1.1740005330921621</v>
      </c>
      <c r="CA55" s="10">
        <f t="shared" si="102"/>
        <v>1.1740005330921621</v>
      </c>
      <c r="CB55" s="10">
        <f t="shared" si="102"/>
        <v>1.1740005330921621</v>
      </c>
      <c r="CC55" s="10">
        <f t="shared" si="102"/>
        <v>1.1740005330921621</v>
      </c>
      <c r="CD55" s="10">
        <f t="shared" si="102"/>
        <v>1.1740005330921621</v>
      </c>
      <c r="CE55" s="10">
        <f t="shared" si="102"/>
        <v>1.1740005330921621</v>
      </c>
      <c r="CF55" s="10">
        <f t="shared" si="102"/>
        <v>1.1740005330921621</v>
      </c>
      <c r="CG55" s="10">
        <f t="shared" si="102"/>
        <v>1.1740005330921621</v>
      </c>
    </row>
    <row r="56" spans="2:89" ht="16.5" customHeight="1">
      <c r="B56" s="10" t="s">
        <v>816</v>
      </c>
      <c r="C56" s="10">
        <f t="shared" ref="C56:AH56" si="103">2*C$10*(C$5+C$11*C$6)/(SQRT(2)*C$7*SIN(C36))</f>
        <v>1.4378511319156171</v>
      </c>
      <c r="D56" s="10">
        <f t="shared" si="103"/>
        <v>1.4378511319156171</v>
      </c>
      <c r="E56" s="10">
        <f t="shared" si="103"/>
        <v>1.4378511319156171</v>
      </c>
      <c r="F56" s="10">
        <f t="shared" si="103"/>
        <v>1.4378511319156171</v>
      </c>
      <c r="G56" s="10">
        <f t="shared" si="103"/>
        <v>1.4378511319156171</v>
      </c>
      <c r="H56" s="10">
        <f t="shared" si="103"/>
        <v>1.4378511319156171</v>
      </c>
      <c r="I56" s="10">
        <f t="shared" si="103"/>
        <v>1.4378511319156171</v>
      </c>
      <c r="J56" s="10">
        <f t="shared" si="103"/>
        <v>1.4378511319156171</v>
      </c>
      <c r="K56" s="10">
        <f t="shared" si="103"/>
        <v>1.4378511319156171</v>
      </c>
      <c r="L56" s="10">
        <f t="shared" si="103"/>
        <v>1.4378511319156171</v>
      </c>
      <c r="M56" s="10">
        <f t="shared" si="103"/>
        <v>1.4378511319156171</v>
      </c>
      <c r="N56" s="10">
        <f t="shared" si="103"/>
        <v>1.4378511319156171</v>
      </c>
      <c r="O56" s="10">
        <f t="shared" si="103"/>
        <v>1.4378511319156171</v>
      </c>
      <c r="P56" s="10">
        <f t="shared" si="103"/>
        <v>1.4378511319156171</v>
      </c>
      <c r="Q56" s="10">
        <f t="shared" si="103"/>
        <v>1.4378511319156171</v>
      </c>
      <c r="R56" s="10">
        <f t="shared" si="103"/>
        <v>1.4378511319156171</v>
      </c>
      <c r="S56" s="10">
        <f t="shared" si="103"/>
        <v>1.4378511319156171</v>
      </c>
      <c r="T56" s="10">
        <f t="shared" si="103"/>
        <v>1.4378511319156171</v>
      </c>
      <c r="U56" s="10">
        <f t="shared" si="103"/>
        <v>1.4378511319156171</v>
      </c>
      <c r="V56" s="10">
        <f t="shared" si="103"/>
        <v>1.4378511319156171</v>
      </c>
      <c r="W56" s="10">
        <f t="shared" si="103"/>
        <v>1.4378511319156171</v>
      </c>
      <c r="X56" s="10">
        <f t="shared" si="103"/>
        <v>1.4378511319156171</v>
      </c>
      <c r="Y56" s="10">
        <f t="shared" si="103"/>
        <v>1.4378511319156171</v>
      </c>
      <c r="Z56" s="10">
        <f t="shared" si="103"/>
        <v>1.4378511319156171</v>
      </c>
      <c r="AA56" s="10">
        <f t="shared" si="103"/>
        <v>1.4378511319156171</v>
      </c>
      <c r="AB56" s="10">
        <f t="shared" si="103"/>
        <v>1.4378511319156171</v>
      </c>
      <c r="AC56" s="10">
        <f t="shared" si="103"/>
        <v>1.4378511319156171</v>
      </c>
      <c r="AD56" s="10">
        <f t="shared" si="103"/>
        <v>1.4378511319156171</v>
      </c>
      <c r="AE56" s="10">
        <f t="shared" si="103"/>
        <v>1.4378511319156171</v>
      </c>
      <c r="AF56" s="10">
        <f t="shared" si="103"/>
        <v>1.4378511319156171</v>
      </c>
      <c r="AG56" s="10">
        <f t="shared" si="103"/>
        <v>1.4378511319156171</v>
      </c>
      <c r="AH56" s="10">
        <f t="shared" si="103"/>
        <v>1.4378511319156171</v>
      </c>
      <c r="AI56" s="10">
        <f t="shared" ref="AI56:BN56" si="104">2*AI$10*(AI$5+AI$11*AI$6)/(SQRT(2)*AI$7*SIN(AI36))</f>
        <v>1.4378511319156171</v>
      </c>
      <c r="AJ56" s="10">
        <f t="shared" si="104"/>
        <v>1.4378511319156171</v>
      </c>
      <c r="AK56" s="10">
        <f t="shared" si="104"/>
        <v>1.4378511319156171</v>
      </c>
      <c r="AL56" s="10">
        <f t="shared" si="104"/>
        <v>1.4378511319156171</v>
      </c>
      <c r="AM56" s="10">
        <f t="shared" si="104"/>
        <v>1.4378511319156171</v>
      </c>
      <c r="AN56" s="10">
        <f t="shared" si="104"/>
        <v>1.4378511319156171</v>
      </c>
      <c r="AO56" s="10">
        <f t="shared" si="104"/>
        <v>1.4378511319156171</v>
      </c>
      <c r="AP56" s="10">
        <f t="shared" si="104"/>
        <v>1.4378511319156171</v>
      </c>
      <c r="AQ56" s="10">
        <f t="shared" si="104"/>
        <v>1.4378511319156171</v>
      </c>
      <c r="AR56" s="10">
        <f t="shared" si="104"/>
        <v>1.4378511319156171</v>
      </c>
      <c r="AS56" s="10">
        <f t="shared" si="104"/>
        <v>1.4378511319156171</v>
      </c>
      <c r="AT56" s="10">
        <f t="shared" si="104"/>
        <v>1.4378511319156171</v>
      </c>
      <c r="AU56" s="10">
        <f t="shared" si="104"/>
        <v>1.4378511319156171</v>
      </c>
      <c r="AV56" s="10">
        <f t="shared" si="104"/>
        <v>1.4378511319156171</v>
      </c>
      <c r="AW56" s="10">
        <f t="shared" si="104"/>
        <v>1.4378511319156171</v>
      </c>
      <c r="AX56" s="10">
        <f t="shared" si="104"/>
        <v>1.4378511319156171</v>
      </c>
      <c r="AY56" s="10">
        <f t="shared" si="104"/>
        <v>1.4378511319156171</v>
      </c>
      <c r="AZ56" s="10">
        <f t="shared" si="104"/>
        <v>1.4378511319156171</v>
      </c>
      <c r="BA56" s="10">
        <f t="shared" si="104"/>
        <v>1.4378511319156171</v>
      </c>
      <c r="BB56" s="10">
        <f t="shared" si="104"/>
        <v>1.4378511319156171</v>
      </c>
      <c r="BC56" s="10">
        <f t="shared" si="104"/>
        <v>1.4378511319156171</v>
      </c>
      <c r="BD56" s="10">
        <f t="shared" si="104"/>
        <v>1.4378511319156171</v>
      </c>
      <c r="BE56" s="10">
        <f t="shared" si="104"/>
        <v>1.4378511319156171</v>
      </c>
      <c r="BF56" s="10">
        <f t="shared" si="104"/>
        <v>1.4378511319156171</v>
      </c>
      <c r="BG56" s="10">
        <f t="shared" si="104"/>
        <v>1.4378511319156171</v>
      </c>
      <c r="BH56" s="10">
        <f t="shared" si="104"/>
        <v>1.4378511319156171</v>
      </c>
      <c r="BI56" s="10">
        <f t="shared" si="104"/>
        <v>1.4378511319156171</v>
      </c>
      <c r="BJ56" s="10">
        <f t="shared" si="104"/>
        <v>1.4378511319156171</v>
      </c>
      <c r="BK56" s="10">
        <f t="shared" si="104"/>
        <v>1.4378511319156171</v>
      </c>
      <c r="BL56" s="10">
        <f t="shared" si="104"/>
        <v>1.4378511319156171</v>
      </c>
      <c r="BM56" s="10">
        <f t="shared" si="104"/>
        <v>1.4378511319156171</v>
      </c>
      <c r="BN56" s="10">
        <f t="shared" si="104"/>
        <v>1.4378511319156171</v>
      </c>
      <c r="BO56" s="10">
        <f t="shared" ref="BO56:CG56" si="105">2*BO$10*(BO$5+BO$11*BO$6)/(SQRT(2)*BO$7*SIN(BO36))</f>
        <v>1.4378511319156171</v>
      </c>
      <c r="BP56" s="10">
        <f t="shared" si="105"/>
        <v>1.4378511319156171</v>
      </c>
      <c r="BQ56" s="10">
        <f t="shared" si="105"/>
        <v>1.4378511319156171</v>
      </c>
      <c r="BR56" s="10">
        <f t="shared" si="105"/>
        <v>1.4378511319156171</v>
      </c>
      <c r="BS56" s="10">
        <f t="shared" si="105"/>
        <v>1.4378511319156171</v>
      </c>
      <c r="BT56" s="10">
        <f t="shared" si="105"/>
        <v>1.4378511319156171</v>
      </c>
      <c r="BU56" s="10">
        <f t="shared" si="105"/>
        <v>1.4378511319156171</v>
      </c>
      <c r="BV56" s="10">
        <f t="shared" si="105"/>
        <v>1.4378511319156171</v>
      </c>
      <c r="BW56" s="10">
        <f t="shared" si="105"/>
        <v>1.4378511319156171</v>
      </c>
      <c r="BX56" s="10">
        <f t="shared" si="105"/>
        <v>1.4378511319156171</v>
      </c>
      <c r="BY56" s="10">
        <f t="shared" si="105"/>
        <v>1.4378511319156171</v>
      </c>
      <c r="BZ56" s="10">
        <f t="shared" si="105"/>
        <v>1.4378511319156171</v>
      </c>
      <c r="CA56" s="10">
        <f t="shared" si="105"/>
        <v>1.4378511319156171</v>
      </c>
      <c r="CB56" s="10">
        <f t="shared" si="105"/>
        <v>1.4378511319156171</v>
      </c>
      <c r="CC56" s="10">
        <f t="shared" si="105"/>
        <v>1.4378511319156171</v>
      </c>
      <c r="CD56" s="10">
        <f t="shared" si="105"/>
        <v>1.4378511319156171</v>
      </c>
      <c r="CE56" s="10">
        <f t="shared" si="105"/>
        <v>1.4378511319156171</v>
      </c>
      <c r="CF56" s="10">
        <f t="shared" si="105"/>
        <v>1.4378511319156171</v>
      </c>
      <c r="CG56" s="10">
        <f t="shared" si="105"/>
        <v>1.4378511319156171</v>
      </c>
    </row>
    <row r="57" spans="2:89" ht="16.5" customHeight="1">
      <c r="B57" s="10" t="s">
        <v>817</v>
      </c>
      <c r="C57" s="10">
        <f t="shared" ref="C57:AH57" si="106">2*C$10*(C$5+C$11*C$6)/(SQRT(2)*C$7*SIN(C37))</f>
        <v>2.0334285714285723</v>
      </c>
      <c r="D57" s="10">
        <f t="shared" si="106"/>
        <v>2.0334285714285723</v>
      </c>
      <c r="E57" s="10">
        <f t="shared" si="106"/>
        <v>2.0334285714285723</v>
      </c>
      <c r="F57" s="10">
        <f t="shared" si="106"/>
        <v>2.0334285714285723</v>
      </c>
      <c r="G57" s="10">
        <f t="shared" si="106"/>
        <v>2.0334285714285723</v>
      </c>
      <c r="H57" s="10">
        <f t="shared" si="106"/>
        <v>2.0334285714285723</v>
      </c>
      <c r="I57" s="10">
        <f t="shared" si="106"/>
        <v>2.0334285714285723</v>
      </c>
      <c r="J57" s="10">
        <f t="shared" si="106"/>
        <v>2.0334285714285723</v>
      </c>
      <c r="K57" s="10">
        <f t="shared" si="106"/>
        <v>2.0334285714285723</v>
      </c>
      <c r="L57" s="10">
        <f t="shared" si="106"/>
        <v>2.0334285714285723</v>
      </c>
      <c r="M57" s="10">
        <f t="shared" si="106"/>
        <v>2.0334285714285723</v>
      </c>
      <c r="N57" s="10">
        <f t="shared" si="106"/>
        <v>2.0334285714285723</v>
      </c>
      <c r="O57" s="10">
        <f t="shared" si="106"/>
        <v>2.0334285714285723</v>
      </c>
      <c r="P57" s="10">
        <f t="shared" si="106"/>
        <v>2.0334285714285723</v>
      </c>
      <c r="Q57" s="10">
        <f t="shared" si="106"/>
        <v>2.0334285714285723</v>
      </c>
      <c r="R57" s="10">
        <f t="shared" si="106"/>
        <v>2.0334285714285723</v>
      </c>
      <c r="S57" s="10">
        <f t="shared" si="106"/>
        <v>2.0334285714285723</v>
      </c>
      <c r="T57" s="10">
        <f t="shared" si="106"/>
        <v>2.0334285714285723</v>
      </c>
      <c r="U57" s="10">
        <f t="shared" si="106"/>
        <v>2.0334285714285723</v>
      </c>
      <c r="V57" s="10">
        <f t="shared" si="106"/>
        <v>2.0334285714285723</v>
      </c>
      <c r="W57" s="10">
        <f t="shared" si="106"/>
        <v>2.0334285714285723</v>
      </c>
      <c r="X57" s="10">
        <f t="shared" si="106"/>
        <v>2.0334285714285723</v>
      </c>
      <c r="Y57" s="10">
        <f t="shared" si="106"/>
        <v>2.0334285714285723</v>
      </c>
      <c r="Z57" s="10">
        <f t="shared" si="106"/>
        <v>2.0334285714285723</v>
      </c>
      <c r="AA57" s="10">
        <f t="shared" si="106"/>
        <v>2.0334285714285723</v>
      </c>
      <c r="AB57" s="10">
        <f t="shared" si="106"/>
        <v>2.0334285714285723</v>
      </c>
      <c r="AC57" s="10">
        <f t="shared" si="106"/>
        <v>2.0334285714285723</v>
      </c>
      <c r="AD57" s="10">
        <f t="shared" si="106"/>
        <v>2.0334285714285723</v>
      </c>
      <c r="AE57" s="10">
        <f t="shared" si="106"/>
        <v>2.0334285714285723</v>
      </c>
      <c r="AF57" s="10">
        <f t="shared" si="106"/>
        <v>2.0334285714285723</v>
      </c>
      <c r="AG57" s="10">
        <f t="shared" si="106"/>
        <v>2.0334285714285723</v>
      </c>
      <c r="AH57" s="10">
        <f t="shared" si="106"/>
        <v>2.0334285714285723</v>
      </c>
      <c r="AI57" s="10">
        <f t="shared" ref="AI57:BN57" si="107">2*AI$10*(AI$5+AI$11*AI$6)/(SQRT(2)*AI$7*SIN(AI37))</f>
        <v>2.0334285714285723</v>
      </c>
      <c r="AJ57" s="10">
        <f t="shared" si="107"/>
        <v>2.0334285714285723</v>
      </c>
      <c r="AK57" s="10">
        <f t="shared" si="107"/>
        <v>2.0334285714285723</v>
      </c>
      <c r="AL57" s="10">
        <f t="shared" si="107"/>
        <v>2.0334285714285723</v>
      </c>
      <c r="AM57" s="10">
        <f t="shared" si="107"/>
        <v>2.0334285714285723</v>
      </c>
      <c r="AN57" s="10">
        <f t="shared" si="107"/>
        <v>2.0334285714285723</v>
      </c>
      <c r="AO57" s="10">
        <f t="shared" si="107"/>
        <v>2.0334285714285723</v>
      </c>
      <c r="AP57" s="10">
        <f t="shared" si="107"/>
        <v>2.0334285714285723</v>
      </c>
      <c r="AQ57" s="10">
        <f t="shared" si="107"/>
        <v>2.0334285714285723</v>
      </c>
      <c r="AR57" s="10">
        <f t="shared" si="107"/>
        <v>2.0334285714285723</v>
      </c>
      <c r="AS57" s="10">
        <f t="shared" si="107"/>
        <v>2.0334285714285723</v>
      </c>
      <c r="AT57" s="10">
        <f t="shared" si="107"/>
        <v>2.0334285714285723</v>
      </c>
      <c r="AU57" s="10">
        <f t="shared" si="107"/>
        <v>2.0334285714285723</v>
      </c>
      <c r="AV57" s="10">
        <f t="shared" si="107"/>
        <v>2.0334285714285723</v>
      </c>
      <c r="AW57" s="10">
        <f t="shared" si="107"/>
        <v>2.0334285714285723</v>
      </c>
      <c r="AX57" s="10">
        <f t="shared" si="107"/>
        <v>2.0334285714285723</v>
      </c>
      <c r="AY57" s="10">
        <f t="shared" si="107"/>
        <v>2.0334285714285723</v>
      </c>
      <c r="AZ57" s="10">
        <f t="shared" si="107"/>
        <v>2.0334285714285723</v>
      </c>
      <c r="BA57" s="10">
        <f t="shared" si="107"/>
        <v>2.0334285714285723</v>
      </c>
      <c r="BB57" s="10">
        <f t="shared" si="107"/>
        <v>2.0334285714285723</v>
      </c>
      <c r="BC57" s="10">
        <f t="shared" si="107"/>
        <v>2.0334285714285723</v>
      </c>
      <c r="BD57" s="10">
        <f t="shared" si="107"/>
        <v>2.0334285714285723</v>
      </c>
      <c r="BE57" s="10">
        <f t="shared" si="107"/>
        <v>2.0334285714285723</v>
      </c>
      <c r="BF57" s="10">
        <f t="shared" si="107"/>
        <v>2.0334285714285723</v>
      </c>
      <c r="BG57" s="10">
        <f t="shared" si="107"/>
        <v>2.0334285714285723</v>
      </c>
      <c r="BH57" s="10">
        <f t="shared" si="107"/>
        <v>2.0334285714285723</v>
      </c>
      <c r="BI57" s="10">
        <f t="shared" si="107"/>
        <v>2.0334285714285723</v>
      </c>
      <c r="BJ57" s="10">
        <f t="shared" si="107"/>
        <v>2.0334285714285723</v>
      </c>
      <c r="BK57" s="10">
        <f t="shared" si="107"/>
        <v>2.0334285714285723</v>
      </c>
      <c r="BL57" s="10">
        <f t="shared" si="107"/>
        <v>2.0334285714285723</v>
      </c>
      <c r="BM57" s="10">
        <f t="shared" si="107"/>
        <v>2.0334285714285723</v>
      </c>
      <c r="BN57" s="10">
        <f t="shared" si="107"/>
        <v>2.0334285714285723</v>
      </c>
      <c r="BO57" s="10">
        <f t="shared" ref="BO57:CG57" si="108">2*BO$10*(BO$5+BO$11*BO$6)/(SQRT(2)*BO$7*SIN(BO37))</f>
        <v>2.0334285714285723</v>
      </c>
      <c r="BP57" s="10">
        <f t="shared" si="108"/>
        <v>2.0334285714285723</v>
      </c>
      <c r="BQ57" s="10">
        <f t="shared" si="108"/>
        <v>2.0334285714285723</v>
      </c>
      <c r="BR57" s="10">
        <f t="shared" si="108"/>
        <v>2.0334285714285723</v>
      </c>
      <c r="BS57" s="10">
        <f t="shared" si="108"/>
        <v>2.0334285714285723</v>
      </c>
      <c r="BT57" s="10">
        <f t="shared" si="108"/>
        <v>2.0334285714285723</v>
      </c>
      <c r="BU57" s="10">
        <f t="shared" si="108"/>
        <v>2.0334285714285723</v>
      </c>
      <c r="BV57" s="10">
        <f t="shared" si="108"/>
        <v>2.0334285714285723</v>
      </c>
      <c r="BW57" s="10">
        <f t="shared" si="108"/>
        <v>2.0334285714285723</v>
      </c>
      <c r="BX57" s="10">
        <f t="shared" si="108"/>
        <v>2.0334285714285723</v>
      </c>
      <c r="BY57" s="10">
        <f t="shared" si="108"/>
        <v>2.0334285714285723</v>
      </c>
      <c r="BZ57" s="10">
        <f t="shared" si="108"/>
        <v>2.0334285714285723</v>
      </c>
      <c r="CA57" s="10">
        <f t="shared" si="108"/>
        <v>2.0334285714285723</v>
      </c>
      <c r="CB57" s="10">
        <f t="shared" si="108"/>
        <v>2.0334285714285723</v>
      </c>
      <c r="CC57" s="10">
        <f t="shared" si="108"/>
        <v>2.0334285714285723</v>
      </c>
      <c r="CD57" s="10">
        <f t="shared" si="108"/>
        <v>2.0334285714285723</v>
      </c>
      <c r="CE57" s="10">
        <f t="shared" si="108"/>
        <v>2.0334285714285723</v>
      </c>
      <c r="CF57" s="10">
        <f t="shared" si="108"/>
        <v>2.0334285714285723</v>
      </c>
      <c r="CG57" s="10">
        <f t="shared" si="108"/>
        <v>2.0334285714285723</v>
      </c>
    </row>
    <row r="58" spans="2:89" ht="16.5" customHeight="1">
      <c r="B58" s="10" t="s">
        <v>818</v>
      </c>
      <c r="C58" s="10">
        <f t="shared" ref="C58:AH58" si="109">2*C$10*(C$5+C$11*C$6)/(SQRT(2)*C$7*SIN(C38))</f>
        <v>3.9282823461138863</v>
      </c>
      <c r="D58" s="10">
        <f t="shared" si="109"/>
        <v>3.9282823461138863</v>
      </c>
      <c r="E58" s="10">
        <f t="shared" si="109"/>
        <v>3.9282823461138863</v>
      </c>
      <c r="F58" s="10">
        <f t="shared" si="109"/>
        <v>3.9282823461138863</v>
      </c>
      <c r="G58" s="10">
        <f t="shared" si="109"/>
        <v>3.9282823461138863</v>
      </c>
      <c r="H58" s="10">
        <f t="shared" si="109"/>
        <v>3.9282823461138863</v>
      </c>
      <c r="I58" s="10">
        <f t="shared" si="109"/>
        <v>3.9282823461138863</v>
      </c>
      <c r="J58" s="10">
        <f t="shared" si="109"/>
        <v>3.9282823461138863</v>
      </c>
      <c r="K58" s="10">
        <f t="shared" si="109"/>
        <v>3.9282823461138863</v>
      </c>
      <c r="L58" s="10">
        <f t="shared" si="109"/>
        <v>3.9282823461138863</v>
      </c>
      <c r="M58" s="10">
        <f t="shared" si="109"/>
        <v>3.9282823461138863</v>
      </c>
      <c r="N58" s="10">
        <f t="shared" si="109"/>
        <v>3.9282823461138863</v>
      </c>
      <c r="O58" s="10">
        <f t="shared" si="109"/>
        <v>3.9282823461138863</v>
      </c>
      <c r="P58" s="10">
        <f t="shared" si="109"/>
        <v>3.9282823461138863</v>
      </c>
      <c r="Q58" s="10">
        <f t="shared" si="109"/>
        <v>3.9282823461138863</v>
      </c>
      <c r="R58" s="10">
        <f t="shared" si="109"/>
        <v>3.9282823461138863</v>
      </c>
      <c r="S58" s="10">
        <f t="shared" si="109"/>
        <v>3.9282823461138863</v>
      </c>
      <c r="T58" s="10">
        <f t="shared" si="109"/>
        <v>3.9282823461138863</v>
      </c>
      <c r="U58" s="10">
        <f t="shared" si="109"/>
        <v>3.9282823461138863</v>
      </c>
      <c r="V58" s="10">
        <f t="shared" si="109"/>
        <v>3.9282823461138863</v>
      </c>
      <c r="W58" s="10">
        <f t="shared" si="109"/>
        <v>3.9282823461138863</v>
      </c>
      <c r="X58" s="10">
        <f t="shared" si="109"/>
        <v>3.9282823461138863</v>
      </c>
      <c r="Y58" s="10">
        <f t="shared" si="109"/>
        <v>3.9282823461138863</v>
      </c>
      <c r="Z58" s="10">
        <f t="shared" si="109"/>
        <v>3.9282823461138863</v>
      </c>
      <c r="AA58" s="10">
        <f t="shared" si="109"/>
        <v>3.9282823461138863</v>
      </c>
      <c r="AB58" s="10">
        <f t="shared" si="109"/>
        <v>3.9282823461138863</v>
      </c>
      <c r="AC58" s="10">
        <f t="shared" si="109"/>
        <v>3.9282823461138863</v>
      </c>
      <c r="AD58" s="10">
        <f t="shared" si="109"/>
        <v>3.9282823461138863</v>
      </c>
      <c r="AE58" s="10">
        <f t="shared" si="109"/>
        <v>3.9282823461138863</v>
      </c>
      <c r="AF58" s="10">
        <f t="shared" si="109"/>
        <v>3.9282823461138863</v>
      </c>
      <c r="AG58" s="10">
        <f t="shared" si="109"/>
        <v>3.9282823461138863</v>
      </c>
      <c r="AH58" s="10">
        <f t="shared" si="109"/>
        <v>3.9282823461138863</v>
      </c>
      <c r="AI58" s="10">
        <f t="shared" ref="AI58:BN58" si="110">2*AI$10*(AI$5+AI$11*AI$6)/(SQRT(2)*AI$7*SIN(AI38))</f>
        <v>3.9282823461138863</v>
      </c>
      <c r="AJ58" s="10">
        <f t="shared" si="110"/>
        <v>3.9282823461138863</v>
      </c>
      <c r="AK58" s="10">
        <f t="shared" si="110"/>
        <v>3.9282823461138863</v>
      </c>
      <c r="AL58" s="10">
        <f t="shared" si="110"/>
        <v>3.9282823461138863</v>
      </c>
      <c r="AM58" s="10">
        <f t="shared" si="110"/>
        <v>3.9282823461138863</v>
      </c>
      <c r="AN58" s="10">
        <f t="shared" si="110"/>
        <v>3.9282823461138863</v>
      </c>
      <c r="AO58" s="10">
        <f t="shared" si="110"/>
        <v>3.9282823461138863</v>
      </c>
      <c r="AP58" s="10">
        <f t="shared" si="110"/>
        <v>3.9282823461138863</v>
      </c>
      <c r="AQ58" s="10">
        <f t="shared" si="110"/>
        <v>3.9282823461138863</v>
      </c>
      <c r="AR58" s="10">
        <f t="shared" si="110"/>
        <v>3.9282823461138863</v>
      </c>
      <c r="AS58" s="10">
        <f t="shared" si="110"/>
        <v>3.9282823461138863</v>
      </c>
      <c r="AT58" s="10">
        <f t="shared" si="110"/>
        <v>3.9282823461138863</v>
      </c>
      <c r="AU58" s="10">
        <f t="shared" si="110"/>
        <v>3.9282823461138863</v>
      </c>
      <c r="AV58" s="10">
        <f t="shared" si="110"/>
        <v>3.9282823461138863</v>
      </c>
      <c r="AW58" s="10">
        <f t="shared" si="110"/>
        <v>3.9282823461138863</v>
      </c>
      <c r="AX58" s="10">
        <f t="shared" si="110"/>
        <v>3.9282823461138863</v>
      </c>
      <c r="AY58" s="10">
        <f t="shared" si="110"/>
        <v>3.9282823461138863</v>
      </c>
      <c r="AZ58" s="10">
        <f t="shared" si="110"/>
        <v>3.9282823461138863</v>
      </c>
      <c r="BA58" s="10">
        <f t="shared" si="110"/>
        <v>3.9282823461138863</v>
      </c>
      <c r="BB58" s="10">
        <f t="shared" si="110"/>
        <v>3.9282823461138863</v>
      </c>
      <c r="BC58" s="10">
        <f t="shared" si="110"/>
        <v>3.9282823461138863</v>
      </c>
      <c r="BD58" s="10">
        <f t="shared" si="110"/>
        <v>3.9282823461138863</v>
      </c>
      <c r="BE58" s="10">
        <f t="shared" si="110"/>
        <v>3.9282823461138863</v>
      </c>
      <c r="BF58" s="10">
        <f t="shared" si="110"/>
        <v>3.9282823461138863</v>
      </c>
      <c r="BG58" s="10">
        <f t="shared" si="110"/>
        <v>3.9282823461138863</v>
      </c>
      <c r="BH58" s="10">
        <f t="shared" si="110"/>
        <v>3.9282823461138863</v>
      </c>
      <c r="BI58" s="10">
        <f t="shared" si="110"/>
        <v>3.9282823461138863</v>
      </c>
      <c r="BJ58" s="10">
        <f t="shared" si="110"/>
        <v>3.9282823461138863</v>
      </c>
      <c r="BK58" s="10">
        <f t="shared" si="110"/>
        <v>3.9282823461138863</v>
      </c>
      <c r="BL58" s="10">
        <f t="shared" si="110"/>
        <v>3.9282823461138863</v>
      </c>
      <c r="BM58" s="10">
        <f t="shared" si="110"/>
        <v>3.9282823461138863</v>
      </c>
      <c r="BN58" s="10">
        <f t="shared" si="110"/>
        <v>3.9282823461138863</v>
      </c>
      <c r="BO58" s="10">
        <f t="shared" ref="BO58:CG58" si="111">2*BO$10*(BO$5+BO$11*BO$6)/(SQRT(2)*BO$7*SIN(BO38))</f>
        <v>3.9282823461138863</v>
      </c>
      <c r="BP58" s="10">
        <f t="shared" si="111"/>
        <v>3.9282823461138863</v>
      </c>
      <c r="BQ58" s="10">
        <f t="shared" si="111"/>
        <v>3.9282823461138863</v>
      </c>
      <c r="BR58" s="10">
        <f t="shared" si="111"/>
        <v>3.9282823461138863</v>
      </c>
      <c r="BS58" s="10">
        <f t="shared" si="111"/>
        <v>3.9282823461138863</v>
      </c>
      <c r="BT58" s="10">
        <f t="shared" si="111"/>
        <v>3.9282823461138863</v>
      </c>
      <c r="BU58" s="10">
        <f t="shared" si="111"/>
        <v>3.9282823461138863</v>
      </c>
      <c r="BV58" s="10">
        <f t="shared" si="111"/>
        <v>3.9282823461138863</v>
      </c>
      <c r="BW58" s="10">
        <f t="shared" si="111"/>
        <v>3.9282823461138863</v>
      </c>
      <c r="BX58" s="10">
        <f t="shared" si="111"/>
        <v>3.9282823461138863</v>
      </c>
      <c r="BY58" s="10">
        <f t="shared" si="111"/>
        <v>3.9282823461138863</v>
      </c>
      <c r="BZ58" s="10">
        <f t="shared" si="111"/>
        <v>3.9282823461138863</v>
      </c>
      <c r="CA58" s="10">
        <f t="shared" si="111"/>
        <v>3.9282823461138863</v>
      </c>
      <c r="CB58" s="10">
        <f t="shared" si="111"/>
        <v>3.9282823461138863</v>
      </c>
      <c r="CC58" s="10">
        <f t="shared" si="111"/>
        <v>3.9282823461138863</v>
      </c>
      <c r="CD58" s="10">
        <f t="shared" si="111"/>
        <v>3.9282823461138863</v>
      </c>
      <c r="CE58" s="10">
        <f t="shared" si="111"/>
        <v>3.9282823461138863</v>
      </c>
      <c r="CF58" s="10">
        <f t="shared" si="111"/>
        <v>3.9282823461138863</v>
      </c>
      <c r="CG58" s="10">
        <f t="shared" si="111"/>
        <v>3.9282823461138863</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0.98201947167738768</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0.98201947167738768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0.94677418380264322</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0.94677418380264322</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v>
      </c>
      <c r="BF62" s="10">
        <f t="shared" si="119"/>
        <v>0</v>
      </c>
      <c r="BG62" s="10">
        <f t="shared" si="119"/>
        <v>0</v>
      </c>
      <c r="BH62" s="10">
        <f t="shared" si="119"/>
        <v>0</v>
      </c>
      <c r="BI62" s="10">
        <f t="shared" si="119"/>
        <v>0</v>
      </c>
      <c r="BJ62" s="10">
        <f t="shared" si="119"/>
        <v>0</v>
      </c>
      <c r="BK62" s="10">
        <f t="shared" si="119"/>
        <v>0.85856415097553573</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0.85856415097553573</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v>
      </c>
      <c r="BC63" s="10">
        <f t="shared" si="122"/>
        <v>0</v>
      </c>
      <c r="BD63" s="10">
        <f t="shared" si="122"/>
        <v>0.76142589109225922</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0.76142589109225922</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0.67991685843620131</v>
      </c>
      <c r="AY64" s="10">
        <f t="shared" si="125"/>
        <v>0</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0.67991685843620131</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0.61362601606294154</v>
      </c>
      <c r="AU65" s="10">
        <f t="shared" si="128"/>
        <v>0</v>
      </c>
      <c r="AV65" s="10">
        <f t="shared" si="128"/>
        <v>0</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0.61362601606294154</v>
      </c>
    </row>
    <row r="67" spans="2:86" ht="16.5" customHeight="1">
      <c r="B67" s="10" t="s">
        <v>782</v>
      </c>
      <c r="C67" s="10">
        <f t="shared" ref="C67:AH67" si="130">2*C$10*(C$5+C$11*C$6)/(SQRT(2)*C$9*SIN(C33))</f>
        <v>0.52998936170212774</v>
      </c>
      <c r="D67" s="10">
        <f t="shared" si="130"/>
        <v>0.52998936170212774</v>
      </c>
      <c r="E67" s="10">
        <f t="shared" si="130"/>
        <v>0.52998936170212774</v>
      </c>
      <c r="F67" s="10">
        <f t="shared" si="130"/>
        <v>0.52998936170212774</v>
      </c>
      <c r="G67" s="10">
        <f t="shared" si="130"/>
        <v>0.52998936170212774</v>
      </c>
      <c r="H67" s="10">
        <f t="shared" si="130"/>
        <v>0.52998936170212774</v>
      </c>
      <c r="I67" s="10">
        <f t="shared" si="130"/>
        <v>0.52998936170212774</v>
      </c>
      <c r="J67" s="10">
        <f t="shared" si="130"/>
        <v>0.52998936170212774</v>
      </c>
      <c r="K67" s="10">
        <f t="shared" si="130"/>
        <v>0.52998936170212774</v>
      </c>
      <c r="L67" s="10">
        <f t="shared" si="130"/>
        <v>0.52998936170212774</v>
      </c>
      <c r="M67" s="10">
        <f t="shared" si="130"/>
        <v>0.52998936170212774</v>
      </c>
      <c r="N67" s="10">
        <f t="shared" si="130"/>
        <v>0.52998936170212774</v>
      </c>
      <c r="O67" s="10">
        <f t="shared" si="130"/>
        <v>0.52998936170212774</v>
      </c>
      <c r="P67" s="10">
        <f t="shared" si="130"/>
        <v>0.52998936170212774</v>
      </c>
      <c r="Q67" s="10">
        <f t="shared" si="130"/>
        <v>0.52998936170212774</v>
      </c>
      <c r="R67" s="10">
        <f t="shared" si="130"/>
        <v>0.52998936170212774</v>
      </c>
      <c r="S67" s="10">
        <f t="shared" si="130"/>
        <v>0.52998936170212774</v>
      </c>
      <c r="T67" s="10">
        <f t="shared" si="130"/>
        <v>0.52998936170212774</v>
      </c>
      <c r="U67" s="10">
        <f t="shared" si="130"/>
        <v>0.52998936170212774</v>
      </c>
      <c r="V67" s="10">
        <f t="shared" si="130"/>
        <v>0.52998936170212774</v>
      </c>
      <c r="W67" s="10">
        <f t="shared" si="130"/>
        <v>0.52998936170212774</v>
      </c>
      <c r="X67" s="10">
        <f t="shared" si="130"/>
        <v>0.52998936170212774</v>
      </c>
      <c r="Y67" s="10">
        <f t="shared" si="130"/>
        <v>0.52998936170212774</v>
      </c>
      <c r="Z67" s="10">
        <f t="shared" si="130"/>
        <v>0.52998936170212774</v>
      </c>
      <c r="AA67" s="10">
        <f t="shared" si="130"/>
        <v>0.52998936170212774</v>
      </c>
      <c r="AB67" s="10">
        <f t="shared" si="130"/>
        <v>0.52998936170212774</v>
      </c>
      <c r="AC67" s="10">
        <f t="shared" si="130"/>
        <v>0.52998936170212774</v>
      </c>
      <c r="AD67" s="10">
        <f t="shared" si="130"/>
        <v>0.52998936170212774</v>
      </c>
      <c r="AE67" s="10">
        <f t="shared" si="130"/>
        <v>0.52998936170212774</v>
      </c>
      <c r="AF67" s="10">
        <f t="shared" si="130"/>
        <v>0.52998936170212774</v>
      </c>
      <c r="AG67" s="10">
        <f t="shared" si="130"/>
        <v>0.52998936170212774</v>
      </c>
      <c r="AH67" s="10">
        <f t="shared" si="130"/>
        <v>0.52998936170212774</v>
      </c>
      <c r="AI67" s="10">
        <f t="shared" ref="AI67:BN67" si="131">2*AI$10*(AI$5+AI$11*AI$6)/(SQRT(2)*AI$9*SIN(AI33))</f>
        <v>0.52998936170212774</v>
      </c>
      <c r="AJ67" s="10">
        <f t="shared" si="131"/>
        <v>0.52998936170212774</v>
      </c>
      <c r="AK67" s="10">
        <f t="shared" si="131"/>
        <v>0.52998936170212774</v>
      </c>
      <c r="AL67" s="10">
        <f t="shared" si="131"/>
        <v>0.52998936170212774</v>
      </c>
      <c r="AM67" s="10">
        <f t="shared" si="131"/>
        <v>0.52998936170212774</v>
      </c>
      <c r="AN67" s="10">
        <f t="shared" si="131"/>
        <v>0.52998936170212774</v>
      </c>
      <c r="AO67" s="10">
        <f t="shared" si="131"/>
        <v>0.52998936170212774</v>
      </c>
      <c r="AP67" s="10">
        <f t="shared" si="131"/>
        <v>0.52998936170212774</v>
      </c>
      <c r="AQ67" s="10">
        <f t="shared" si="131"/>
        <v>0.52998936170212774</v>
      </c>
      <c r="AR67" s="10">
        <f t="shared" si="131"/>
        <v>0.52998936170212774</v>
      </c>
      <c r="AS67" s="10">
        <f t="shared" si="131"/>
        <v>0.52998936170212774</v>
      </c>
      <c r="AT67" s="10">
        <f t="shared" si="131"/>
        <v>0.52998936170212774</v>
      </c>
      <c r="AU67" s="10">
        <f t="shared" si="131"/>
        <v>0.52998936170212774</v>
      </c>
      <c r="AV67" s="10">
        <f t="shared" si="131"/>
        <v>0.52998936170212774</v>
      </c>
      <c r="AW67" s="10">
        <f t="shared" si="131"/>
        <v>0.52998936170212774</v>
      </c>
      <c r="AX67" s="10">
        <f t="shared" si="131"/>
        <v>0.52998936170212774</v>
      </c>
      <c r="AY67" s="10">
        <f t="shared" si="131"/>
        <v>0.52998936170212774</v>
      </c>
      <c r="AZ67" s="10">
        <f t="shared" si="131"/>
        <v>0.52998936170212774</v>
      </c>
      <c r="BA67" s="10">
        <f t="shared" si="131"/>
        <v>0.52998936170212774</v>
      </c>
      <c r="BB67" s="10">
        <f t="shared" si="131"/>
        <v>0.52998936170212774</v>
      </c>
      <c r="BC67" s="10">
        <f t="shared" si="131"/>
        <v>0.52998936170212774</v>
      </c>
      <c r="BD67" s="10">
        <f t="shared" si="131"/>
        <v>0.52998936170212774</v>
      </c>
      <c r="BE67" s="10">
        <f t="shared" si="131"/>
        <v>0.52998936170212774</v>
      </c>
      <c r="BF67" s="10">
        <f t="shared" si="131"/>
        <v>0.52998936170212774</v>
      </c>
      <c r="BG67" s="10">
        <f t="shared" si="131"/>
        <v>0.52998936170212774</v>
      </c>
      <c r="BH67" s="10">
        <f t="shared" si="131"/>
        <v>0.52998936170212774</v>
      </c>
      <c r="BI67" s="10">
        <f t="shared" si="131"/>
        <v>0.52998936170212774</v>
      </c>
      <c r="BJ67" s="10">
        <f t="shared" si="131"/>
        <v>0.52998936170212774</v>
      </c>
      <c r="BK67" s="10">
        <f t="shared" si="131"/>
        <v>0.52998936170212774</v>
      </c>
      <c r="BL67" s="10">
        <f t="shared" si="131"/>
        <v>0.52998936170212774</v>
      </c>
      <c r="BM67" s="10">
        <f t="shared" si="131"/>
        <v>0.52998936170212774</v>
      </c>
      <c r="BN67" s="10">
        <f t="shared" si="131"/>
        <v>0.52998936170212774</v>
      </c>
      <c r="BO67" s="10">
        <f t="shared" ref="BO67:CG67" si="132">2*BO$10*(BO$5+BO$11*BO$6)/(SQRT(2)*BO$9*SIN(BO33))</f>
        <v>0.52998936170212774</v>
      </c>
      <c r="BP67" s="10">
        <f t="shared" si="132"/>
        <v>0.52998936170212774</v>
      </c>
      <c r="BQ67" s="10">
        <f t="shared" si="132"/>
        <v>0.52998936170212774</v>
      </c>
      <c r="BR67" s="10">
        <f t="shared" si="132"/>
        <v>0.52998936170212774</v>
      </c>
      <c r="BS67" s="10">
        <f t="shared" si="132"/>
        <v>0.52998936170212774</v>
      </c>
      <c r="BT67" s="10">
        <f t="shared" si="132"/>
        <v>0.52998936170212774</v>
      </c>
      <c r="BU67" s="10">
        <f t="shared" si="132"/>
        <v>0.52998936170212774</v>
      </c>
      <c r="BV67" s="10">
        <f t="shared" si="132"/>
        <v>0.52998936170212774</v>
      </c>
      <c r="BW67" s="10">
        <f t="shared" si="132"/>
        <v>0.52998936170212774</v>
      </c>
      <c r="BX67" s="10">
        <f t="shared" si="132"/>
        <v>0.52998936170212774</v>
      </c>
      <c r="BY67" s="10">
        <f t="shared" si="132"/>
        <v>0.52998936170212774</v>
      </c>
      <c r="BZ67" s="10">
        <f t="shared" si="132"/>
        <v>0.52998936170212774</v>
      </c>
      <c r="CA67" s="10">
        <f t="shared" si="132"/>
        <v>0.52998936170212774</v>
      </c>
      <c r="CB67" s="10">
        <f t="shared" si="132"/>
        <v>0.52998936170212774</v>
      </c>
      <c r="CC67" s="10">
        <f t="shared" si="132"/>
        <v>0.52998936170212774</v>
      </c>
      <c r="CD67" s="10">
        <f t="shared" si="132"/>
        <v>0.52998936170212774</v>
      </c>
      <c r="CE67" s="10">
        <f t="shared" si="132"/>
        <v>0.52998936170212774</v>
      </c>
      <c r="CF67" s="10">
        <f t="shared" si="132"/>
        <v>0.52998936170212774</v>
      </c>
      <c r="CG67" s="10">
        <f t="shared" si="132"/>
        <v>0.52998936170212774</v>
      </c>
    </row>
    <row r="68" spans="2:86" ht="16.5" customHeight="1">
      <c r="B68" s="10" t="s">
        <v>825</v>
      </c>
      <c r="C68" s="10">
        <f t="shared" ref="C68:AH68" si="133">2*C$10*(C$5+C$11*C$6)/(SQRT(2)*C$9*SIN(C34))</f>
        <v>0.54868536204095686</v>
      </c>
      <c r="D68" s="10">
        <f t="shared" si="133"/>
        <v>0.54868536204095686</v>
      </c>
      <c r="E68" s="10">
        <f t="shared" si="133"/>
        <v>0.54868536204095686</v>
      </c>
      <c r="F68" s="10">
        <f t="shared" si="133"/>
        <v>0.54868536204095686</v>
      </c>
      <c r="G68" s="10">
        <f t="shared" si="133"/>
        <v>0.54868536204095686</v>
      </c>
      <c r="H68" s="10">
        <f t="shared" si="133"/>
        <v>0.54868536204095686</v>
      </c>
      <c r="I68" s="10">
        <f t="shared" si="133"/>
        <v>0.54868536204095686</v>
      </c>
      <c r="J68" s="10">
        <f t="shared" si="133"/>
        <v>0.54868536204095686</v>
      </c>
      <c r="K68" s="10">
        <f t="shared" si="133"/>
        <v>0.54868536204095686</v>
      </c>
      <c r="L68" s="10">
        <f t="shared" si="133"/>
        <v>0.54868536204095686</v>
      </c>
      <c r="M68" s="10">
        <f t="shared" si="133"/>
        <v>0.54868536204095686</v>
      </c>
      <c r="N68" s="10">
        <f t="shared" si="133"/>
        <v>0.54868536204095686</v>
      </c>
      <c r="O68" s="10">
        <f t="shared" si="133"/>
        <v>0.54868536204095686</v>
      </c>
      <c r="P68" s="10">
        <f t="shared" si="133"/>
        <v>0.54868536204095686</v>
      </c>
      <c r="Q68" s="10">
        <f t="shared" si="133"/>
        <v>0.54868536204095686</v>
      </c>
      <c r="R68" s="10">
        <f t="shared" si="133"/>
        <v>0.54868536204095686</v>
      </c>
      <c r="S68" s="10">
        <f t="shared" si="133"/>
        <v>0.54868536204095686</v>
      </c>
      <c r="T68" s="10">
        <f t="shared" si="133"/>
        <v>0.54868536204095686</v>
      </c>
      <c r="U68" s="10">
        <f t="shared" si="133"/>
        <v>0.54868536204095686</v>
      </c>
      <c r="V68" s="10">
        <f t="shared" si="133"/>
        <v>0.54868536204095686</v>
      </c>
      <c r="W68" s="10">
        <f t="shared" si="133"/>
        <v>0.54868536204095686</v>
      </c>
      <c r="X68" s="10">
        <f t="shared" si="133"/>
        <v>0.54868536204095686</v>
      </c>
      <c r="Y68" s="10">
        <f t="shared" si="133"/>
        <v>0.54868536204095686</v>
      </c>
      <c r="Z68" s="10">
        <f t="shared" si="133"/>
        <v>0.54868536204095686</v>
      </c>
      <c r="AA68" s="10">
        <f t="shared" si="133"/>
        <v>0.54868536204095686</v>
      </c>
      <c r="AB68" s="10">
        <f t="shared" si="133"/>
        <v>0.54868536204095686</v>
      </c>
      <c r="AC68" s="10">
        <f t="shared" si="133"/>
        <v>0.54868536204095686</v>
      </c>
      <c r="AD68" s="10">
        <f t="shared" si="133"/>
        <v>0.54868536204095686</v>
      </c>
      <c r="AE68" s="10">
        <f t="shared" si="133"/>
        <v>0.54868536204095686</v>
      </c>
      <c r="AF68" s="10">
        <f t="shared" si="133"/>
        <v>0.54868536204095686</v>
      </c>
      <c r="AG68" s="10">
        <f t="shared" si="133"/>
        <v>0.54868536204095686</v>
      </c>
      <c r="AH68" s="10">
        <f t="shared" si="133"/>
        <v>0.54868536204095686</v>
      </c>
      <c r="AI68" s="10">
        <f t="shared" ref="AI68:BN68" si="134">2*AI$10*(AI$5+AI$11*AI$6)/(SQRT(2)*AI$9*SIN(AI34))</f>
        <v>0.54868536204095686</v>
      </c>
      <c r="AJ68" s="10">
        <f t="shared" si="134"/>
        <v>0.54868536204095686</v>
      </c>
      <c r="AK68" s="10">
        <f t="shared" si="134"/>
        <v>0.54868536204095686</v>
      </c>
      <c r="AL68" s="10">
        <f t="shared" si="134"/>
        <v>0.54868536204095686</v>
      </c>
      <c r="AM68" s="10">
        <f t="shared" si="134"/>
        <v>0.54868536204095686</v>
      </c>
      <c r="AN68" s="10">
        <f t="shared" si="134"/>
        <v>0.54868536204095686</v>
      </c>
      <c r="AO68" s="10">
        <f t="shared" si="134"/>
        <v>0.54868536204095686</v>
      </c>
      <c r="AP68" s="10">
        <f t="shared" si="134"/>
        <v>0.54868536204095686</v>
      </c>
      <c r="AQ68" s="10">
        <f t="shared" si="134"/>
        <v>0.54868536204095686</v>
      </c>
      <c r="AR68" s="10">
        <f t="shared" si="134"/>
        <v>0.54868536204095686</v>
      </c>
      <c r="AS68" s="10">
        <f t="shared" si="134"/>
        <v>0.54868536204095686</v>
      </c>
      <c r="AT68" s="10">
        <f t="shared" si="134"/>
        <v>0.54868536204095686</v>
      </c>
      <c r="AU68" s="10">
        <f t="shared" si="134"/>
        <v>0.54868536204095686</v>
      </c>
      <c r="AV68" s="10">
        <f t="shared" si="134"/>
        <v>0.54868536204095686</v>
      </c>
      <c r="AW68" s="10">
        <f t="shared" si="134"/>
        <v>0.54868536204095686</v>
      </c>
      <c r="AX68" s="10">
        <f t="shared" si="134"/>
        <v>0.54868536204095686</v>
      </c>
      <c r="AY68" s="10">
        <f t="shared" si="134"/>
        <v>0.54868536204095686</v>
      </c>
      <c r="AZ68" s="10">
        <f t="shared" si="134"/>
        <v>0.54868536204095686</v>
      </c>
      <c r="BA68" s="10">
        <f t="shared" si="134"/>
        <v>0.54868536204095686</v>
      </c>
      <c r="BB68" s="10">
        <f t="shared" si="134"/>
        <v>0.54868536204095686</v>
      </c>
      <c r="BC68" s="10">
        <f t="shared" si="134"/>
        <v>0.54868536204095686</v>
      </c>
      <c r="BD68" s="10">
        <f t="shared" si="134"/>
        <v>0.54868536204095686</v>
      </c>
      <c r="BE68" s="10">
        <f t="shared" si="134"/>
        <v>0.54868536204095686</v>
      </c>
      <c r="BF68" s="10">
        <f t="shared" si="134"/>
        <v>0.54868536204095686</v>
      </c>
      <c r="BG68" s="10">
        <f t="shared" si="134"/>
        <v>0.54868536204095686</v>
      </c>
      <c r="BH68" s="10">
        <f t="shared" si="134"/>
        <v>0.54868536204095686</v>
      </c>
      <c r="BI68" s="10">
        <f t="shared" si="134"/>
        <v>0.54868536204095686</v>
      </c>
      <c r="BJ68" s="10">
        <f t="shared" si="134"/>
        <v>0.54868536204095686</v>
      </c>
      <c r="BK68" s="10">
        <f t="shared" si="134"/>
        <v>0.54868536204095686</v>
      </c>
      <c r="BL68" s="10">
        <f t="shared" si="134"/>
        <v>0.54868536204095686</v>
      </c>
      <c r="BM68" s="10">
        <f t="shared" si="134"/>
        <v>0.54868536204095686</v>
      </c>
      <c r="BN68" s="10">
        <f t="shared" si="134"/>
        <v>0.54868536204095686</v>
      </c>
      <c r="BO68" s="10">
        <f t="shared" ref="BO68:CG68" si="135">2*BO$10*(BO$5+BO$11*BO$6)/(SQRT(2)*BO$9*SIN(BO34))</f>
        <v>0.54868536204095686</v>
      </c>
      <c r="BP68" s="10">
        <f t="shared" si="135"/>
        <v>0.54868536204095686</v>
      </c>
      <c r="BQ68" s="10">
        <f t="shared" si="135"/>
        <v>0.54868536204095686</v>
      </c>
      <c r="BR68" s="10">
        <f t="shared" si="135"/>
        <v>0.54868536204095686</v>
      </c>
      <c r="BS68" s="10">
        <f t="shared" si="135"/>
        <v>0.54868536204095686</v>
      </c>
      <c r="BT68" s="10">
        <f t="shared" si="135"/>
        <v>0.54868536204095686</v>
      </c>
      <c r="BU68" s="10">
        <f t="shared" si="135"/>
        <v>0.54868536204095686</v>
      </c>
      <c r="BV68" s="10">
        <f t="shared" si="135"/>
        <v>0.54868536204095686</v>
      </c>
      <c r="BW68" s="10">
        <f t="shared" si="135"/>
        <v>0.54868536204095686</v>
      </c>
      <c r="BX68" s="10">
        <f t="shared" si="135"/>
        <v>0.54868536204095686</v>
      </c>
      <c r="BY68" s="10">
        <f t="shared" si="135"/>
        <v>0.54868536204095686</v>
      </c>
      <c r="BZ68" s="10">
        <f t="shared" si="135"/>
        <v>0.54868536204095686</v>
      </c>
      <c r="CA68" s="10">
        <f t="shared" si="135"/>
        <v>0.54868536204095686</v>
      </c>
      <c r="CB68" s="10">
        <f t="shared" si="135"/>
        <v>0.54868536204095686</v>
      </c>
      <c r="CC68" s="10">
        <f t="shared" si="135"/>
        <v>0.54868536204095686</v>
      </c>
      <c r="CD68" s="10">
        <f t="shared" si="135"/>
        <v>0.54868536204095686</v>
      </c>
      <c r="CE68" s="10">
        <f t="shared" si="135"/>
        <v>0.54868536204095686</v>
      </c>
      <c r="CF68" s="10">
        <f t="shared" si="135"/>
        <v>0.54868536204095686</v>
      </c>
      <c r="CG68" s="10">
        <f t="shared" si="135"/>
        <v>0.54868536204095686</v>
      </c>
    </row>
    <row r="69" spans="2:86" ht="16.5" customHeight="1">
      <c r="B69" s="10" t="s">
        <v>826</v>
      </c>
      <c r="C69" s="10">
        <f t="shared" ref="C69:AH69" si="136">2*C$10*(C$5+C$11*C$6)/(SQRT(2)*C$9*SIN(C35))</f>
        <v>0.61197900129272287</v>
      </c>
      <c r="D69" s="10">
        <f t="shared" si="136"/>
        <v>0.61197900129272287</v>
      </c>
      <c r="E69" s="10">
        <f t="shared" si="136"/>
        <v>0.61197900129272287</v>
      </c>
      <c r="F69" s="10">
        <f t="shared" si="136"/>
        <v>0.61197900129272287</v>
      </c>
      <c r="G69" s="10">
        <f t="shared" si="136"/>
        <v>0.61197900129272287</v>
      </c>
      <c r="H69" s="10">
        <f t="shared" si="136"/>
        <v>0.61197900129272287</v>
      </c>
      <c r="I69" s="10">
        <f t="shared" si="136"/>
        <v>0.61197900129272287</v>
      </c>
      <c r="J69" s="10">
        <f t="shared" si="136"/>
        <v>0.61197900129272287</v>
      </c>
      <c r="K69" s="10">
        <f t="shared" si="136"/>
        <v>0.61197900129272287</v>
      </c>
      <c r="L69" s="10">
        <f t="shared" si="136"/>
        <v>0.61197900129272287</v>
      </c>
      <c r="M69" s="10">
        <f t="shared" si="136"/>
        <v>0.61197900129272287</v>
      </c>
      <c r="N69" s="10">
        <f t="shared" si="136"/>
        <v>0.61197900129272287</v>
      </c>
      <c r="O69" s="10">
        <f t="shared" si="136"/>
        <v>0.61197900129272287</v>
      </c>
      <c r="P69" s="10">
        <f t="shared" si="136"/>
        <v>0.61197900129272287</v>
      </c>
      <c r="Q69" s="10">
        <f t="shared" si="136"/>
        <v>0.61197900129272287</v>
      </c>
      <c r="R69" s="10">
        <f t="shared" si="136"/>
        <v>0.61197900129272287</v>
      </c>
      <c r="S69" s="10">
        <f t="shared" si="136"/>
        <v>0.61197900129272287</v>
      </c>
      <c r="T69" s="10">
        <f t="shared" si="136"/>
        <v>0.61197900129272287</v>
      </c>
      <c r="U69" s="10">
        <f t="shared" si="136"/>
        <v>0.61197900129272287</v>
      </c>
      <c r="V69" s="10">
        <f t="shared" si="136"/>
        <v>0.61197900129272287</v>
      </c>
      <c r="W69" s="10">
        <f t="shared" si="136"/>
        <v>0.61197900129272287</v>
      </c>
      <c r="X69" s="10">
        <f t="shared" si="136"/>
        <v>0.61197900129272287</v>
      </c>
      <c r="Y69" s="10">
        <f t="shared" si="136"/>
        <v>0.61197900129272287</v>
      </c>
      <c r="Z69" s="10">
        <f t="shared" si="136"/>
        <v>0.61197900129272287</v>
      </c>
      <c r="AA69" s="10">
        <f t="shared" si="136"/>
        <v>0.61197900129272287</v>
      </c>
      <c r="AB69" s="10">
        <f t="shared" si="136"/>
        <v>0.61197900129272287</v>
      </c>
      <c r="AC69" s="10">
        <f t="shared" si="136"/>
        <v>0.61197900129272287</v>
      </c>
      <c r="AD69" s="10">
        <f t="shared" si="136"/>
        <v>0.61197900129272287</v>
      </c>
      <c r="AE69" s="10">
        <f t="shared" si="136"/>
        <v>0.61197900129272287</v>
      </c>
      <c r="AF69" s="10">
        <f t="shared" si="136"/>
        <v>0.61197900129272287</v>
      </c>
      <c r="AG69" s="10">
        <f t="shared" si="136"/>
        <v>0.61197900129272287</v>
      </c>
      <c r="AH69" s="10">
        <f t="shared" si="136"/>
        <v>0.61197900129272287</v>
      </c>
      <c r="AI69" s="10">
        <f t="shared" ref="AI69:BN69" si="137">2*AI$10*(AI$5+AI$11*AI$6)/(SQRT(2)*AI$9*SIN(AI35))</f>
        <v>0.61197900129272287</v>
      </c>
      <c r="AJ69" s="10">
        <f t="shared" si="137"/>
        <v>0.61197900129272287</v>
      </c>
      <c r="AK69" s="10">
        <f t="shared" si="137"/>
        <v>0.61197900129272287</v>
      </c>
      <c r="AL69" s="10">
        <f t="shared" si="137"/>
        <v>0.61197900129272287</v>
      </c>
      <c r="AM69" s="10">
        <f t="shared" si="137"/>
        <v>0.61197900129272287</v>
      </c>
      <c r="AN69" s="10">
        <f t="shared" si="137"/>
        <v>0.61197900129272287</v>
      </c>
      <c r="AO69" s="10">
        <f t="shared" si="137"/>
        <v>0.61197900129272287</v>
      </c>
      <c r="AP69" s="10">
        <f t="shared" si="137"/>
        <v>0.61197900129272287</v>
      </c>
      <c r="AQ69" s="10">
        <f t="shared" si="137"/>
        <v>0.61197900129272287</v>
      </c>
      <c r="AR69" s="10">
        <f t="shared" si="137"/>
        <v>0.61197900129272287</v>
      </c>
      <c r="AS69" s="10">
        <f t="shared" si="137"/>
        <v>0.61197900129272287</v>
      </c>
      <c r="AT69" s="10">
        <f t="shared" si="137"/>
        <v>0.61197900129272287</v>
      </c>
      <c r="AU69" s="10">
        <f t="shared" si="137"/>
        <v>0.61197900129272287</v>
      </c>
      <c r="AV69" s="10">
        <f t="shared" si="137"/>
        <v>0.61197900129272287</v>
      </c>
      <c r="AW69" s="10">
        <f t="shared" si="137"/>
        <v>0.61197900129272287</v>
      </c>
      <c r="AX69" s="10">
        <f t="shared" si="137"/>
        <v>0.61197900129272287</v>
      </c>
      <c r="AY69" s="10">
        <f t="shared" si="137"/>
        <v>0.61197900129272287</v>
      </c>
      <c r="AZ69" s="10">
        <f t="shared" si="137"/>
        <v>0.61197900129272287</v>
      </c>
      <c r="BA69" s="10">
        <f t="shared" si="137"/>
        <v>0.61197900129272287</v>
      </c>
      <c r="BB69" s="10">
        <f t="shared" si="137"/>
        <v>0.61197900129272287</v>
      </c>
      <c r="BC69" s="10">
        <f t="shared" si="137"/>
        <v>0.61197900129272287</v>
      </c>
      <c r="BD69" s="10">
        <f t="shared" si="137"/>
        <v>0.61197900129272287</v>
      </c>
      <c r="BE69" s="10">
        <f t="shared" si="137"/>
        <v>0.61197900129272287</v>
      </c>
      <c r="BF69" s="10">
        <f t="shared" si="137"/>
        <v>0.61197900129272287</v>
      </c>
      <c r="BG69" s="10">
        <f t="shared" si="137"/>
        <v>0.61197900129272287</v>
      </c>
      <c r="BH69" s="10">
        <f t="shared" si="137"/>
        <v>0.61197900129272287</v>
      </c>
      <c r="BI69" s="10">
        <f t="shared" si="137"/>
        <v>0.61197900129272287</v>
      </c>
      <c r="BJ69" s="10">
        <f t="shared" si="137"/>
        <v>0.61197900129272287</v>
      </c>
      <c r="BK69" s="10">
        <f t="shared" si="137"/>
        <v>0.61197900129272287</v>
      </c>
      <c r="BL69" s="10">
        <f t="shared" si="137"/>
        <v>0.61197900129272287</v>
      </c>
      <c r="BM69" s="10">
        <f t="shared" si="137"/>
        <v>0.61197900129272287</v>
      </c>
      <c r="BN69" s="10">
        <f t="shared" si="137"/>
        <v>0.61197900129272287</v>
      </c>
      <c r="BO69" s="10">
        <f t="shared" ref="BO69:CG69" si="138">2*BO$10*(BO$5+BO$11*BO$6)/(SQRT(2)*BO$9*SIN(BO35))</f>
        <v>0.61197900129272287</v>
      </c>
      <c r="BP69" s="10">
        <f t="shared" si="138"/>
        <v>0.61197900129272287</v>
      </c>
      <c r="BQ69" s="10">
        <f t="shared" si="138"/>
        <v>0.61197900129272287</v>
      </c>
      <c r="BR69" s="10">
        <f t="shared" si="138"/>
        <v>0.61197900129272287</v>
      </c>
      <c r="BS69" s="10">
        <f t="shared" si="138"/>
        <v>0.61197900129272287</v>
      </c>
      <c r="BT69" s="10">
        <f t="shared" si="138"/>
        <v>0.61197900129272287</v>
      </c>
      <c r="BU69" s="10">
        <f t="shared" si="138"/>
        <v>0.61197900129272287</v>
      </c>
      <c r="BV69" s="10">
        <f t="shared" si="138"/>
        <v>0.61197900129272287</v>
      </c>
      <c r="BW69" s="10">
        <f t="shared" si="138"/>
        <v>0.61197900129272287</v>
      </c>
      <c r="BX69" s="10">
        <f t="shared" si="138"/>
        <v>0.61197900129272287</v>
      </c>
      <c r="BY69" s="10">
        <f t="shared" si="138"/>
        <v>0.61197900129272287</v>
      </c>
      <c r="BZ69" s="10">
        <f t="shared" si="138"/>
        <v>0.61197900129272287</v>
      </c>
      <c r="CA69" s="10">
        <f t="shared" si="138"/>
        <v>0.61197900129272287</v>
      </c>
      <c r="CB69" s="10">
        <f t="shared" si="138"/>
        <v>0.61197900129272287</v>
      </c>
      <c r="CC69" s="10">
        <f t="shared" si="138"/>
        <v>0.61197900129272287</v>
      </c>
      <c r="CD69" s="10">
        <f t="shared" si="138"/>
        <v>0.61197900129272287</v>
      </c>
      <c r="CE69" s="10">
        <f t="shared" si="138"/>
        <v>0.61197900129272287</v>
      </c>
      <c r="CF69" s="10">
        <f t="shared" si="138"/>
        <v>0.61197900129272287</v>
      </c>
      <c r="CG69" s="10">
        <f t="shared" si="138"/>
        <v>0.61197900129272287</v>
      </c>
    </row>
    <row r="70" spans="2:86" ht="16.5" customHeight="1">
      <c r="B70" s="10" t="s">
        <v>827</v>
      </c>
      <c r="C70" s="10">
        <f t="shared" ref="C70:AH70" si="139">2*C$10*(C$5+C$11*C$6)/(SQRT(2)*C$9*SIN(C36))</f>
        <v>0.7495181432326089</v>
      </c>
      <c r="D70" s="10">
        <f t="shared" si="139"/>
        <v>0.7495181432326089</v>
      </c>
      <c r="E70" s="10">
        <f t="shared" si="139"/>
        <v>0.7495181432326089</v>
      </c>
      <c r="F70" s="10">
        <f t="shared" si="139"/>
        <v>0.7495181432326089</v>
      </c>
      <c r="G70" s="10">
        <f t="shared" si="139"/>
        <v>0.7495181432326089</v>
      </c>
      <c r="H70" s="10">
        <f t="shared" si="139"/>
        <v>0.7495181432326089</v>
      </c>
      <c r="I70" s="10">
        <f t="shared" si="139"/>
        <v>0.7495181432326089</v>
      </c>
      <c r="J70" s="10">
        <f t="shared" si="139"/>
        <v>0.7495181432326089</v>
      </c>
      <c r="K70" s="10">
        <f t="shared" si="139"/>
        <v>0.7495181432326089</v>
      </c>
      <c r="L70" s="10">
        <f t="shared" si="139"/>
        <v>0.7495181432326089</v>
      </c>
      <c r="M70" s="10">
        <f t="shared" si="139"/>
        <v>0.7495181432326089</v>
      </c>
      <c r="N70" s="10">
        <f t="shared" si="139"/>
        <v>0.7495181432326089</v>
      </c>
      <c r="O70" s="10">
        <f t="shared" si="139"/>
        <v>0.7495181432326089</v>
      </c>
      <c r="P70" s="10">
        <f t="shared" si="139"/>
        <v>0.7495181432326089</v>
      </c>
      <c r="Q70" s="10">
        <f t="shared" si="139"/>
        <v>0.7495181432326089</v>
      </c>
      <c r="R70" s="10">
        <f t="shared" si="139"/>
        <v>0.7495181432326089</v>
      </c>
      <c r="S70" s="10">
        <f t="shared" si="139"/>
        <v>0.7495181432326089</v>
      </c>
      <c r="T70" s="10">
        <f t="shared" si="139"/>
        <v>0.7495181432326089</v>
      </c>
      <c r="U70" s="10">
        <f t="shared" si="139"/>
        <v>0.7495181432326089</v>
      </c>
      <c r="V70" s="10">
        <f t="shared" si="139"/>
        <v>0.7495181432326089</v>
      </c>
      <c r="W70" s="10">
        <f t="shared" si="139"/>
        <v>0.7495181432326089</v>
      </c>
      <c r="X70" s="10">
        <f t="shared" si="139"/>
        <v>0.7495181432326089</v>
      </c>
      <c r="Y70" s="10">
        <f t="shared" si="139"/>
        <v>0.7495181432326089</v>
      </c>
      <c r="Z70" s="10">
        <f t="shared" si="139"/>
        <v>0.7495181432326089</v>
      </c>
      <c r="AA70" s="10">
        <f t="shared" si="139"/>
        <v>0.7495181432326089</v>
      </c>
      <c r="AB70" s="10">
        <f t="shared" si="139"/>
        <v>0.7495181432326089</v>
      </c>
      <c r="AC70" s="10">
        <f t="shared" si="139"/>
        <v>0.7495181432326089</v>
      </c>
      <c r="AD70" s="10">
        <f t="shared" si="139"/>
        <v>0.7495181432326089</v>
      </c>
      <c r="AE70" s="10">
        <f t="shared" si="139"/>
        <v>0.7495181432326089</v>
      </c>
      <c r="AF70" s="10">
        <f t="shared" si="139"/>
        <v>0.7495181432326089</v>
      </c>
      <c r="AG70" s="10">
        <f t="shared" si="139"/>
        <v>0.7495181432326089</v>
      </c>
      <c r="AH70" s="10">
        <f t="shared" si="139"/>
        <v>0.7495181432326089</v>
      </c>
      <c r="AI70" s="10">
        <f t="shared" ref="AI70:BN70" si="140">2*AI$10*(AI$5+AI$11*AI$6)/(SQRT(2)*AI$9*SIN(AI36))</f>
        <v>0.7495181432326089</v>
      </c>
      <c r="AJ70" s="10">
        <f t="shared" si="140"/>
        <v>0.7495181432326089</v>
      </c>
      <c r="AK70" s="10">
        <f t="shared" si="140"/>
        <v>0.7495181432326089</v>
      </c>
      <c r="AL70" s="10">
        <f t="shared" si="140"/>
        <v>0.7495181432326089</v>
      </c>
      <c r="AM70" s="10">
        <f t="shared" si="140"/>
        <v>0.7495181432326089</v>
      </c>
      <c r="AN70" s="10">
        <f t="shared" si="140"/>
        <v>0.7495181432326089</v>
      </c>
      <c r="AO70" s="10">
        <f t="shared" si="140"/>
        <v>0.7495181432326089</v>
      </c>
      <c r="AP70" s="10">
        <f t="shared" si="140"/>
        <v>0.7495181432326089</v>
      </c>
      <c r="AQ70" s="10">
        <f t="shared" si="140"/>
        <v>0.7495181432326089</v>
      </c>
      <c r="AR70" s="10">
        <f t="shared" si="140"/>
        <v>0.7495181432326089</v>
      </c>
      <c r="AS70" s="10">
        <f t="shared" si="140"/>
        <v>0.7495181432326089</v>
      </c>
      <c r="AT70" s="10">
        <f t="shared" si="140"/>
        <v>0.7495181432326089</v>
      </c>
      <c r="AU70" s="10">
        <f t="shared" si="140"/>
        <v>0.7495181432326089</v>
      </c>
      <c r="AV70" s="10">
        <f t="shared" si="140"/>
        <v>0.7495181432326089</v>
      </c>
      <c r="AW70" s="10">
        <f t="shared" si="140"/>
        <v>0.7495181432326089</v>
      </c>
      <c r="AX70" s="10">
        <f t="shared" si="140"/>
        <v>0.7495181432326089</v>
      </c>
      <c r="AY70" s="10">
        <f t="shared" si="140"/>
        <v>0.7495181432326089</v>
      </c>
      <c r="AZ70" s="10">
        <f t="shared" si="140"/>
        <v>0.7495181432326089</v>
      </c>
      <c r="BA70" s="10">
        <f t="shared" si="140"/>
        <v>0.7495181432326089</v>
      </c>
      <c r="BB70" s="10">
        <f t="shared" si="140"/>
        <v>0.7495181432326089</v>
      </c>
      <c r="BC70" s="10">
        <f t="shared" si="140"/>
        <v>0.7495181432326089</v>
      </c>
      <c r="BD70" s="10">
        <f t="shared" si="140"/>
        <v>0.7495181432326089</v>
      </c>
      <c r="BE70" s="10">
        <f t="shared" si="140"/>
        <v>0.7495181432326089</v>
      </c>
      <c r="BF70" s="10">
        <f t="shared" si="140"/>
        <v>0.7495181432326089</v>
      </c>
      <c r="BG70" s="10">
        <f t="shared" si="140"/>
        <v>0.7495181432326089</v>
      </c>
      <c r="BH70" s="10">
        <f t="shared" si="140"/>
        <v>0.7495181432326089</v>
      </c>
      <c r="BI70" s="10">
        <f t="shared" si="140"/>
        <v>0.7495181432326089</v>
      </c>
      <c r="BJ70" s="10">
        <f t="shared" si="140"/>
        <v>0.7495181432326089</v>
      </c>
      <c r="BK70" s="10">
        <f t="shared" si="140"/>
        <v>0.7495181432326089</v>
      </c>
      <c r="BL70" s="10">
        <f t="shared" si="140"/>
        <v>0.7495181432326089</v>
      </c>
      <c r="BM70" s="10">
        <f t="shared" si="140"/>
        <v>0.7495181432326089</v>
      </c>
      <c r="BN70" s="10">
        <f t="shared" si="140"/>
        <v>0.7495181432326089</v>
      </c>
      <c r="BO70" s="10">
        <f t="shared" ref="BO70:CG70" si="141">2*BO$10*(BO$5+BO$11*BO$6)/(SQRT(2)*BO$9*SIN(BO36))</f>
        <v>0.7495181432326089</v>
      </c>
      <c r="BP70" s="10">
        <f t="shared" si="141"/>
        <v>0.7495181432326089</v>
      </c>
      <c r="BQ70" s="10">
        <f t="shared" si="141"/>
        <v>0.7495181432326089</v>
      </c>
      <c r="BR70" s="10">
        <f t="shared" si="141"/>
        <v>0.7495181432326089</v>
      </c>
      <c r="BS70" s="10">
        <f t="shared" si="141"/>
        <v>0.7495181432326089</v>
      </c>
      <c r="BT70" s="10">
        <f t="shared" si="141"/>
        <v>0.7495181432326089</v>
      </c>
      <c r="BU70" s="10">
        <f t="shared" si="141"/>
        <v>0.7495181432326089</v>
      </c>
      <c r="BV70" s="10">
        <f t="shared" si="141"/>
        <v>0.7495181432326089</v>
      </c>
      <c r="BW70" s="10">
        <f t="shared" si="141"/>
        <v>0.7495181432326089</v>
      </c>
      <c r="BX70" s="10">
        <f t="shared" si="141"/>
        <v>0.7495181432326089</v>
      </c>
      <c r="BY70" s="10">
        <f t="shared" si="141"/>
        <v>0.7495181432326089</v>
      </c>
      <c r="BZ70" s="10">
        <f t="shared" si="141"/>
        <v>0.7495181432326089</v>
      </c>
      <c r="CA70" s="10">
        <f t="shared" si="141"/>
        <v>0.7495181432326089</v>
      </c>
      <c r="CB70" s="10">
        <f t="shared" si="141"/>
        <v>0.7495181432326089</v>
      </c>
      <c r="CC70" s="10">
        <f t="shared" si="141"/>
        <v>0.7495181432326089</v>
      </c>
      <c r="CD70" s="10">
        <f t="shared" si="141"/>
        <v>0.7495181432326089</v>
      </c>
      <c r="CE70" s="10">
        <f t="shared" si="141"/>
        <v>0.7495181432326089</v>
      </c>
      <c r="CF70" s="10">
        <f t="shared" si="141"/>
        <v>0.7495181432326089</v>
      </c>
      <c r="CG70" s="10">
        <f t="shared" si="141"/>
        <v>0.7495181432326089</v>
      </c>
    </row>
    <row r="71" spans="2:86" ht="16.5" customHeight="1">
      <c r="B71" s="10" t="s">
        <v>828</v>
      </c>
      <c r="C71" s="10">
        <f t="shared" ref="C71:AH71" si="142">2*C$10*(C$5+C$11*C$6)/(SQRT(2)*C$9*SIN(C37))</f>
        <v>1.0599787234042557</v>
      </c>
      <c r="D71" s="10">
        <f t="shared" si="142"/>
        <v>1.0599787234042557</v>
      </c>
      <c r="E71" s="10">
        <f t="shared" si="142"/>
        <v>1.0599787234042557</v>
      </c>
      <c r="F71" s="10">
        <f t="shared" si="142"/>
        <v>1.0599787234042557</v>
      </c>
      <c r="G71" s="10">
        <f t="shared" si="142"/>
        <v>1.0599787234042557</v>
      </c>
      <c r="H71" s="10">
        <f t="shared" si="142"/>
        <v>1.0599787234042557</v>
      </c>
      <c r="I71" s="10">
        <f t="shared" si="142"/>
        <v>1.0599787234042557</v>
      </c>
      <c r="J71" s="10">
        <f t="shared" si="142"/>
        <v>1.0599787234042557</v>
      </c>
      <c r="K71" s="10">
        <f t="shared" si="142"/>
        <v>1.0599787234042557</v>
      </c>
      <c r="L71" s="10">
        <f t="shared" si="142"/>
        <v>1.0599787234042557</v>
      </c>
      <c r="M71" s="10">
        <f t="shared" si="142"/>
        <v>1.0599787234042557</v>
      </c>
      <c r="N71" s="10">
        <f t="shared" si="142"/>
        <v>1.0599787234042557</v>
      </c>
      <c r="O71" s="10">
        <f t="shared" si="142"/>
        <v>1.0599787234042557</v>
      </c>
      <c r="P71" s="10">
        <f t="shared" si="142"/>
        <v>1.0599787234042557</v>
      </c>
      <c r="Q71" s="10">
        <f t="shared" si="142"/>
        <v>1.0599787234042557</v>
      </c>
      <c r="R71" s="10">
        <f t="shared" si="142"/>
        <v>1.0599787234042557</v>
      </c>
      <c r="S71" s="10">
        <f t="shared" si="142"/>
        <v>1.0599787234042557</v>
      </c>
      <c r="T71" s="10">
        <f t="shared" si="142"/>
        <v>1.0599787234042557</v>
      </c>
      <c r="U71" s="10">
        <f t="shared" si="142"/>
        <v>1.0599787234042557</v>
      </c>
      <c r="V71" s="10">
        <f t="shared" si="142"/>
        <v>1.0599787234042557</v>
      </c>
      <c r="W71" s="10">
        <f t="shared" si="142"/>
        <v>1.0599787234042557</v>
      </c>
      <c r="X71" s="10">
        <f t="shared" si="142"/>
        <v>1.0599787234042557</v>
      </c>
      <c r="Y71" s="10">
        <f t="shared" si="142"/>
        <v>1.0599787234042557</v>
      </c>
      <c r="Z71" s="10">
        <f t="shared" si="142"/>
        <v>1.0599787234042557</v>
      </c>
      <c r="AA71" s="10">
        <f t="shared" si="142"/>
        <v>1.0599787234042557</v>
      </c>
      <c r="AB71" s="10">
        <f t="shared" si="142"/>
        <v>1.0599787234042557</v>
      </c>
      <c r="AC71" s="10">
        <f t="shared" si="142"/>
        <v>1.0599787234042557</v>
      </c>
      <c r="AD71" s="10">
        <f t="shared" si="142"/>
        <v>1.0599787234042557</v>
      </c>
      <c r="AE71" s="10">
        <f t="shared" si="142"/>
        <v>1.0599787234042557</v>
      </c>
      <c r="AF71" s="10">
        <f t="shared" si="142"/>
        <v>1.0599787234042557</v>
      </c>
      <c r="AG71" s="10">
        <f t="shared" si="142"/>
        <v>1.0599787234042557</v>
      </c>
      <c r="AH71" s="10">
        <f t="shared" si="142"/>
        <v>1.0599787234042557</v>
      </c>
      <c r="AI71" s="10">
        <f t="shared" ref="AI71:BN71" si="143">2*AI$10*(AI$5+AI$11*AI$6)/(SQRT(2)*AI$9*SIN(AI37))</f>
        <v>1.0599787234042557</v>
      </c>
      <c r="AJ71" s="10">
        <f t="shared" si="143"/>
        <v>1.0599787234042557</v>
      </c>
      <c r="AK71" s="10">
        <f t="shared" si="143"/>
        <v>1.0599787234042557</v>
      </c>
      <c r="AL71" s="10">
        <f t="shared" si="143"/>
        <v>1.0599787234042557</v>
      </c>
      <c r="AM71" s="10">
        <f t="shared" si="143"/>
        <v>1.0599787234042557</v>
      </c>
      <c r="AN71" s="10">
        <f t="shared" si="143"/>
        <v>1.0599787234042557</v>
      </c>
      <c r="AO71" s="10">
        <f t="shared" si="143"/>
        <v>1.0599787234042557</v>
      </c>
      <c r="AP71" s="10">
        <f t="shared" si="143"/>
        <v>1.0599787234042557</v>
      </c>
      <c r="AQ71" s="10">
        <f t="shared" si="143"/>
        <v>1.0599787234042557</v>
      </c>
      <c r="AR71" s="10">
        <f t="shared" si="143"/>
        <v>1.0599787234042557</v>
      </c>
      <c r="AS71" s="10">
        <f t="shared" si="143"/>
        <v>1.0599787234042557</v>
      </c>
      <c r="AT71" s="10">
        <f t="shared" si="143"/>
        <v>1.0599787234042557</v>
      </c>
      <c r="AU71" s="10">
        <f t="shared" si="143"/>
        <v>1.0599787234042557</v>
      </c>
      <c r="AV71" s="10">
        <f t="shared" si="143"/>
        <v>1.0599787234042557</v>
      </c>
      <c r="AW71" s="10">
        <f t="shared" si="143"/>
        <v>1.0599787234042557</v>
      </c>
      <c r="AX71" s="10">
        <f t="shared" si="143"/>
        <v>1.0599787234042557</v>
      </c>
      <c r="AY71" s="10">
        <f t="shared" si="143"/>
        <v>1.0599787234042557</v>
      </c>
      <c r="AZ71" s="10">
        <f t="shared" si="143"/>
        <v>1.0599787234042557</v>
      </c>
      <c r="BA71" s="10">
        <f t="shared" si="143"/>
        <v>1.0599787234042557</v>
      </c>
      <c r="BB71" s="10">
        <f t="shared" si="143"/>
        <v>1.0599787234042557</v>
      </c>
      <c r="BC71" s="10">
        <f t="shared" si="143"/>
        <v>1.0599787234042557</v>
      </c>
      <c r="BD71" s="10">
        <f t="shared" si="143"/>
        <v>1.0599787234042557</v>
      </c>
      <c r="BE71" s="10">
        <f t="shared" si="143"/>
        <v>1.0599787234042557</v>
      </c>
      <c r="BF71" s="10">
        <f t="shared" si="143"/>
        <v>1.0599787234042557</v>
      </c>
      <c r="BG71" s="10">
        <f t="shared" si="143"/>
        <v>1.0599787234042557</v>
      </c>
      <c r="BH71" s="10">
        <f t="shared" si="143"/>
        <v>1.0599787234042557</v>
      </c>
      <c r="BI71" s="10">
        <f t="shared" si="143"/>
        <v>1.0599787234042557</v>
      </c>
      <c r="BJ71" s="10">
        <f t="shared" si="143"/>
        <v>1.0599787234042557</v>
      </c>
      <c r="BK71" s="10">
        <f t="shared" si="143"/>
        <v>1.0599787234042557</v>
      </c>
      <c r="BL71" s="10">
        <f t="shared" si="143"/>
        <v>1.0599787234042557</v>
      </c>
      <c r="BM71" s="10">
        <f t="shared" si="143"/>
        <v>1.0599787234042557</v>
      </c>
      <c r="BN71" s="10">
        <f t="shared" si="143"/>
        <v>1.0599787234042557</v>
      </c>
      <c r="BO71" s="10">
        <f t="shared" ref="BO71:CG71" si="144">2*BO$10*(BO$5+BO$11*BO$6)/(SQRT(2)*BO$9*SIN(BO37))</f>
        <v>1.0599787234042557</v>
      </c>
      <c r="BP71" s="10">
        <f t="shared" si="144"/>
        <v>1.0599787234042557</v>
      </c>
      <c r="BQ71" s="10">
        <f t="shared" si="144"/>
        <v>1.0599787234042557</v>
      </c>
      <c r="BR71" s="10">
        <f t="shared" si="144"/>
        <v>1.0599787234042557</v>
      </c>
      <c r="BS71" s="10">
        <f t="shared" si="144"/>
        <v>1.0599787234042557</v>
      </c>
      <c r="BT71" s="10">
        <f t="shared" si="144"/>
        <v>1.0599787234042557</v>
      </c>
      <c r="BU71" s="10">
        <f t="shared" si="144"/>
        <v>1.0599787234042557</v>
      </c>
      <c r="BV71" s="10">
        <f t="shared" si="144"/>
        <v>1.0599787234042557</v>
      </c>
      <c r="BW71" s="10">
        <f t="shared" si="144"/>
        <v>1.0599787234042557</v>
      </c>
      <c r="BX71" s="10">
        <f t="shared" si="144"/>
        <v>1.0599787234042557</v>
      </c>
      <c r="BY71" s="10">
        <f t="shared" si="144"/>
        <v>1.0599787234042557</v>
      </c>
      <c r="BZ71" s="10">
        <f t="shared" si="144"/>
        <v>1.0599787234042557</v>
      </c>
      <c r="CA71" s="10">
        <f t="shared" si="144"/>
        <v>1.0599787234042557</v>
      </c>
      <c r="CB71" s="10">
        <f t="shared" si="144"/>
        <v>1.0599787234042557</v>
      </c>
      <c r="CC71" s="10">
        <f t="shared" si="144"/>
        <v>1.0599787234042557</v>
      </c>
      <c r="CD71" s="10">
        <f t="shared" si="144"/>
        <v>1.0599787234042557</v>
      </c>
      <c r="CE71" s="10">
        <f t="shared" si="144"/>
        <v>1.0599787234042557</v>
      </c>
      <c r="CF71" s="10">
        <f t="shared" si="144"/>
        <v>1.0599787234042557</v>
      </c>
      <c r="CG71" s="10">
        <f t="shared" si="144"/>
        <v>1.0599787234042557</v>
      </c>
    </row>
    <row r="72" spans="2:86" ht="16.5" customHeight="1">
      <c r="B72" s="10" t="s">
        <v>829</v>
      </c>
      <c r="C72" s="10">
        <f t="shared" ref="C72:AH72" si="145">2*C$10*(C$5+C$11*C$6)/(SQRT(2)*C$9*SIN(C38))</f>
        <v>2.0477216485061751</v>
      </c>
      <c r="D72" s="10">
        <f t="shared" si="145"/>
        <v>2.0477216485061751</v>
      </c>
      <c r="E72" s="10">
        <f t="shared" si="145"/>
        <v>2.0477216485061751</v>
      </c>
      <c r="F72" s="10">
        <f t="shared" si="145"/>
        <v>2.0477216485061751</v>
      </c>
      <c r="G72" s="10">
        <f t="shared" si="145"/>
        <v>2.0477216485061751</v>
      </c>
      <c r="H72" s="10">
        <f t="shared" si="145"/>
        <v>2.0477216485061751</v>
      </c>
      <c r="I72" s="10">
        <f t="shared" si="145"/>
        <v>2.0477216485061751</v>
      </c>
      <c r="J72" s="10">
        <f t="shared" si="145"/>
        <v>2.0477216485061751</v>
      </c>
      <c r="K72" s="10">
        <f t="shared" si="145"/>
        <v>2.0477216485061751</v>
      </c>
      <c r="L72" s="10">
        <f t="shared" si="145"/>
        <v>2.0477216485061751</v>
      </c>
      <c r="M72" s="10">
        <f t="shared" si="145"/>
        <v>2.0477216485061751</v>
      </c>
      <c r="N72" s="10">
        <f t="shared" si="145"/>
        <v>2.0477216485061751</v>
      </c>
      <c r="O72" s="10">
        <f t="shared" si="145"/>
        <v>2.0477216485061751</v>
      </c>
      <c r="P72" s="10">
        <f t="shared" si="145"/>
        <v>2.0477216485061751</v>
      </c>
      <c r="Q72" s="10">
        <f t="shared" si="145"/>
        <v>2.0477216485061751</v>
      </c>
      <c r="R72" s="10">
        <f t="shared" si="145"/>
        <v>2.0477216485061751</v>
      </c>
      <c r="S72" s="10">
        <f t="shared" si="145"/>
        <v>2.0477216485061751</v>
      </c>
      <c r="T72" s="10">
        <f t="shared" si="145"/>
        <v>2.0477216485061751</v>
      </c>
      <c r="U72" s="10">
        <f t="shared" si="145"/>
        <v>2.0477216485061751</v>
      </c>
      <c r="V72" s="10">
        <f t="shared" si="145"/>
        <v>2.0477216485061751</v>
      </c>
      <c r="W72" s="10">
        <f t="shared" si="145"/>
        <v>2.0477216485061751</v>
      </c>
      <c r="X72" s="10">
        <f t="shared" si="145"/>
        <v>2.0477216485061751</v>
      </c>
      <c r="Y72" s="10">
        <f t="shared" si="145"/>
        <v>2.0477216485061751</v>
      </c>
      <c r="Z72" s="10">
        <f t="shared" si="145"/>
        <v>2.0477216485061751</v>
      </c>
      <c r="AA72" s="10">
        <f t="shared" si="145"/>
        <v>2.0477216485061751</v>
      </c>
      <c r="AB72" s="10">
        <f t="shared" si="145"/>
        <v>2.0477216485061751</v>
      </c>
      <c r="AC72" s="10">
        <f t="shared" si="145"/>
        <v>2.0477216485061751</v>
      </c>
      <c r="AD72" s="10">
        <f t="shared" si="145"/>
        <v>2.0477216485061751</v>
      </c>
      <c r="AE72" s="10">
        <f t="shared" si="145"/>
        <v>2.0477216485061751</v>
      </c>
      <c r="AF72" s="10">
        <f t="shared" si="145"/>
        <v>2.0477216485061751</v>
      </c>
      <c r="AG72" s="10">
        <f t="shared" si="145"/>
        <v>2.0477216485061751</v>
      </c>
      <c r="AH72" s="10">
        <f t="shared" si="145"/>
        <v>2.0477216485061751</v>
      </c>
      <c r="AI72" s="10">
        <f t="shared" ref="AI72:BN72" si="146">2*AI$10*(AI$5+AI$11*AI$6)/(SQRT(2)*AI$9*SIN(AI38))</f>
        <v>2.0477216485061751</v>
      </c>
      <c r="AJ72" s="10">
        <f t="shared" si="146"/>
        <v>2.0477216485061751</v>
      </c>
      <c r="AK72" s="10">
        <f t="shared" si="146"/>
        <v>2.0477216485061751</v>
      </c>
      <c r="AL72" s="10">
        <f t="shared" si="146"/>
        <v>2.0477216485061751</v>
      </c>
      <c r="AM72" s="10">
        <f t="shared" si="146"/>
        <v>2.0477216485061751</v>
      </c>
      <c r="AN72" s="10">
        <f t="shared" si="146"/>
        <v>2.0477216485061751</v>
      </c>
      <c r="AO72" s="10">
        <f t="shared" si="146"/>
        <v>2.0477216485061751</v>
      </c>
      <c r="AP72" s="10">
        <f t="shared" si="146"/>
        <v>2.0477216485061751</v>
      </c>
      <c r="AQ72" s="10">
        <f t="shared" si="146"/>
        <v>2.0477216485061751</v>
      </c>
      <c r="AR72" s="10">
        <f t="shared" si="146"/>
        <v>2.0477216485061751</v>
      </c>
      <c r="AS72" s="10">
        <f t="shared" si="146"/>
        <v>2.0477216485061751</v>
      </c>
      <c r="AT72" s="10">
        <f t="shared" si="146"/>
        <v>2.0477216485061751</v>
      </c>
      <c r="AU72" s="10">
        <f t="shared" si="146"/>
        <v>2.0477216485061751</v>
      </c>
      <c r="AV72" s="10">
        <f t="shared" si="146"/>
        <v>2.0477216485061751</v>
      </c>
      <c r="AW72" s="10">
        <f t="shared" si="146"/>
        <v>2.0477216485061751</v>
      </c>
      <c r="AX72" s="10">
        <f t="shared" si="146"/>
        <v>2.0477216485061751</v>
      </c>
      <c r="AY72" s="10">
        <f t="shared" si="146"/>
        <v>2.0477216485061751</v>
      </c>
      <c r="AZ72" s="10">
        <f t="shared" si="146"/>
        <v>2.0477216485061751</v>
      </c>
      <c r="BA72" s="10">
        <f t="shared" si="146"/>
        <v>2.0477216485061751</v>
      </c>
      <c r="BB72" s="10">
        <f t="shared" si="146"/>
        <v>2.0477216485061751</v>
      </c>
      <c r="BC72" s="10">
        <f t="shared" si="146"/>
        <v>2.0477216485061751</v>
      </c>
      <c r="BD72" s="10">
        <f t="shared" si="146"/>
        <v>2.0477216485061751</v>
      </c>
      <c r="BE72" s="10">
        <f t="shared" si="146"/>
        <v>2.0477216485061751</v>
      </c>
      <c r="BF72" s="10">
        <f t="shared" si="146"/>
        <v>2.0477216485061751</v>
      </c>
      <c r="BG72" s="10">
        <f t="shared" si="146"/>
        <v>2.0477216485061751</v>
      </c>
      <c r="BH72" s="10">
        <f t="shared" si="146"/>
        <v>2.0477216485061751</v>
      </c>
      <c r="BI72" s="10">
        <f t="shared" si="146"/>
        <v>2.0477216485061751</v>
      </c>
      <c r="BJ72" s="10">
        <f t="shared" si="146"/>
        <v>2.0477216485061751</v>
      </c>
      <c r="BK72" s="10">
        <f t="shared" si="146"/>
        <v>2.0477216485061751</v>
      </c>
      <c r="BL72" s="10">
        <f t="shared" si="146"/>
        <v>2.0477216485061751</v>
      </c>
      <c r="BM72" s="10">
        <f t="shared" si="146"/>
        <v>2.0477216485061751</v>
      </c>
      <c r="BN72" s="10">
        <f t="shared" si="146"/>
        <v>2.0477216485061751</v>
      </c>
      <c r="BO72" s="10">
        <f t="shared" ref="BO72:CG72" si="147">2*BO$10*(BO$5+BO$11*BO$6)/(SQRT(2)*BO$9*SIN(BO38))</f>
        <v>2.0477216485061751</v>
      </c>
      <c r="BP72" s="10">
        <f t="shared" si="147"/>
        <v>2.0477216485061751</v>
      </c>
      <c r="BQ72" s="10">
        <f t="shared" si="147"/>
        <v>2.0477216485061751</v>
      </c>
      <c r="BR72" s="10">
        <f t="shared" si="147"/>
        <v>2.0477216485061751</v>
      </c>
      <c r="BS72" s="10">
        <f t="shared" si="147"/>
        <v>2.0477216485061751</v>
      </c>
      <c r="BT72" s="10">
        <f t="shared" si="147"/>
        <v>2.0477216485061751</v>
      </c>
      <c r="BU72" s="10">
        <f t="shared" si="147"/>
        <v>2.0477216485061751</v>
      </c>
      <c r="BV72" s="10">
        <f t="shared" si="147"/>
        <v>2.0477216485061751</v>
      </c>
      <c r="BW72" s="10">
        <f t="shared" si="147"/>
        <v>2.0477216485061751</v>
      </c>
      <c r="BX72" s="10">
        <f t="shared" si="147"/>
        <v>2.0477216485061751</v>
      </c>
      <c r="BY72" s="10">
        <f t="shared" si="147"/>
        <v>2.0477216485061751</v>
      </c>
      <c r="BZ72" s="10">
        <f t="shared" si="147"/>
        <v>2.0477216485061751</v>
      </c>
      <c r="CA72" s="10">
        <f t="shared" si="147"/>
        <v>2.0477216485061751</v>
      </c>
      <c r="CB72" s="10">
        <f t="shared" si="147"/>
        <v>2.0477216485061751</v>
      </c>
      <c r="CC72" s="10">
        <f t="shared" si="147"/>
        <v>2.0477216485061751</v>
      </c>
      <c r="CD72" s="10">
        <f t="shared" si="147"/>
        <v>2.0477216485061751</v>
      </c>
      <c r="CE72" s="10">
        <f t="shared" si="147"/>
        <v>2.0477216485061751</v>
      </c>
      <c r="CF72" s="10">
        <f t="shared" si="147"/>
        <v>2.0477216485061751</v>
      </c>
      <c r="CG72" s="10">
        <f t="shared" si="147"/>
        <v>2.0477216485061751</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0</v>
      </c>
      <c r="CB74" s="10">
        <f t="shared" si="150"/>
        <v>2.4418400237867472</v>
      </c>
      <c r="CC74" s="10">
        <f t="shared" si="150"/>
        <v>0</v>
      </c>
      <c r="CD74" s="10">
        <f t="shared" si="150"/>
        <v>0</v>
      </c>
      <c r="CE74" s="10">
        <f t="shared" si="150"/>
        <v>0</v>
      </c>
      <c r="CF74" s="10">
        <f t="shared" si="150"/>
        <v>0</v>
      </c>
      <c r="CG74" s="10">
        <f t="shared" si="150"/>
        <v>0</v>
      </c>
      <c r="CH74" s="10">
        <f t="array" aca="1" ref="CH74" ca="1">IF(MAX(D74:CG74),MAX(D74:CG74),INDIRECT(CI47))</f>
        <v>2.4418400237867472</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0</v>
      </c>
      <c r="CB75" s="10">
        <f t="shared" si="153"/>
        <v>2.4299185066402167</v>
      </c>
      <c r="CC75" s="10">
        <f t="shared" si="153"/>
        <v>0</v>
      </c>
      <c r="CD75" s="10">
        <f t="shared" si="153"/>
        <v>0</v>
      </c>
      <c r="CE75" s="10">
        <f t="shared" si="153"/>
        <v>0</v>
      </c>
      <c r="CF75" s="10">
        <f t="shared" si="153"/>
        <v>0</v>
      </c>
      <c r="CG75" s="10">
        <f t="shared" si="153"/>
        <v>0</v>
      </c>
      <c r="CH75" s="10">
        <f t="array" aca="1" ref="CH75" ca="1">IF(MAX(D75:CG75),MAX(D75:CG75),INDIRECT(CI48))</f>
        <v>2.4299185066402167</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0</v>
      </c>
      <c r="BZ76" s="10">
        <f t="shared" si="156"/>
        <v>0</v>
      </c>
      <c r="CA76" s="10">
        <f t="shared" si="156"/>
        <v>0</v>
      </c>
      <c r="CB76" s="10">
        <f t="shared" si="156"/>
        <v>2.311394103814437</v>
      </c>
      <c r="CC76" s="10">
        <f t="shared" si="156"/>
        <v>0</v>
      </c>
      <c r="CD76" s="10">
        <f t="shared" si="156"/>
        <v>0</v>
      </c>
      <c r="CE76" s="10">
        <f t="shared" si="156"/>
        <v>0</v>
      </c>
      <c r="CF76" s="10">
        <f t="shared" si="156"/>
        <v>0</v>
      </c>
      <c r="CG76" s="10">
        <f t="shared" si="156"/>
        <v>0</v>
      </c>
      <c r="CH76" s="10">
        <f t="array" aca="1" ref="CH76" ca="1">IF(MAX(D76:CG76),MAX(D76:CG76),INDIRECT(CI49))</f>
        <v>2.311394103814437</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0</v>
      </c>
      <c r="BW77" s="10">
        <f t="shared" si="159"/>
        <v>0</v>
      </c>
      <c r="BX77" s="10">
        <f t="shared" si="159"/>
        <v>1.6780914088278231</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1.6780914088278231</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0.94241823022999482</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0.94241823022999482</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0.68420654737172337</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0.68420654737172337</v>
      </c>
    </row>
    <row r="81" spans="2:86" ht="16.5" customHeight="1">
      <c r="B81" s="10" t="s">
        <v>836</v>
      </c>
      <c r="C81" s="10">
        <f t="shared" ref="C81:AH81" si="166">2*C$10*(C$5+C$11*C$6)/(SQRT(2)*C$8*SIN(C33))</f>
        <v>0.78283006070961358</v>
      </c>
      <c r="D81" s="10">
        <f t="shared" si="166"/>
        <v>0.78283006070961358</v>
      </c>
      <c r="E81" s="10">
        <f t="shared" si="166"/>
        <v>0.78283006070961358</v>
      </c>
      <c r="F81" s="10">
        <f t="shared" si="166"/>
        <v>0.78283006070961358</v>
      </c>
      <c r="G81" s="10">
        <f t="shared" si="166"/>
        <v>0.78283006070961358</v>
      </c>
      <c r="H81" s="10">
        <f t="shared" si="166"/>
        <v>0.78283006070961358</v>
      </c>
      <c r="I81" s="10">
        <f t="shared" si="166"/>
        <v>0.78283006070961358</v>
      </c>
      <c r="J81" s="10">
        <f t="shared" si="166"/>
        <v>0.78283006070961358</v>
      </c>
      <c r="K81" s="10">
        <f t="shared" si="166"/>
        <v>0.78283006070961358</v>
      </c>
      <c r="L81" s="10">
        <f t="shared" si="166"/>
        <v>0.78283006070961358</v>
      </c>
      <c r="M81" s="10">
        <f t="shared" si="166"/>
        <v>0.78283006070961358</v>
      </c>
      <c r="N81" s="10">
        <f t="shared" si="166"/>
        <v>0.78283006070961358</v>
      </c>
      <c r="O81" s="10">
        <f t="shared" si="166"/>
        <v>0.78283006070961358</v>
      </c>
      <c r="P81" s="10">
        <f t="shared" si="166"/>
        <v>0.78283006070961358</v>
      </c>
      <c r="Q81" s="10">
        <f t="shared" si="166"/>
        <v>0.78283006070961358</v>
      </c>
      <c r="R81" s="10">
        <f t="shared" si="166"/>
        <v>0.78283006070961358</v>
      </c>
      <c r="S81" s="10">
        <f t="shared" si="166"/>
        <v>0.78283006070961358</v>
      </c>
      <c r="T81" s="10">
        <f t="shared" si="166"/>
        <v>0.78283006070961358</v>
      </c>
      <c r="U81" s="10">
        <f t="shared" si="166"/>
        <v>0.78283006070961358</v>
      </c>
      <c r="V81" s="10">
        <f t="shared" si="166"/>
        <v>0.78283006070961358</v>
      </c>
      <c r="W81" s="10">
        <f t="shared" si="166"/>
        <v>0.78283006070961358</v>
      </c>
      <c r="X81" s="10">
        <f t="shared" si="166"/>
        <v>0.78283006070961358</v>
      </c>
      <c r="Y81" s="10">
        <f t="shared" si="166"/>
        <v>0.78283006070961358</v>
      </c>
      <c r="Z81" s="10">
        <f t="shared" si="166"/>
        <v>0.78283006070961358</v>
      </c>
      <c r="AA81" s="10">
        <f t="shared" si="166"/>
        <v>0.78283006070961358</v>
      </c>
      <c r="AB81" s="10">
        <f t="shared" si="166"/>
        <v>0.78283006070961358</v>
      </c>
      <c r="AC81" s="10">
        <f t="shared" si="166"/>
        <v>0.78283006070961358</v>
      </c>
      <c r="AD81" s="10">
        <f t="shared" si="166"/>
        <v>0.78283006070961358</v>
      </c>
      <c r="AE81" s="10">
        <f t="shared" si="166"/>
        <v>0.78283006070961358</v>
      </c>
      <c r="AF81" s="10">
        <f t="shared" si="166"/>
        <v>0.78283006070961358</v>
      </c>
      <c r="AG81" s="10">
        <f t="shared" si="166"/>
        <v>0.78283006070961358</v>
      </c>
      <c r="AH81" s="10">
        <f t="shared" si="166"/>
        <v>0.78283006070961358</v>
      </c>
      <c r="AI81" s="10">
        <f t="shared" ref="AI81:BN81" si="167">2*AI$10*(AI$5+AI$11*AI$6)/(SQRT(2)*AI$8*SIN(AI33))</f>
        <v>0.78283006070961358</v>
      </c>
      <c r="AJ81" s="10">
        <f t="shared" si="167"/>
        <v>0.78283006070961358</v>
      </c>
      <c r="AK81" s="10">
        <f t="shared" si="167"/>
        <v>0.78283006070961358</v>
      </c>
      <c r="AL81" s="10">
        <f t="shared" si="167"/>
        <v>0.78283006070961358</v>
      </c>
      <c r="AM81" s="10">
        <f t="shared" si="167"/>
        <v>0.78283006070961358</v>
      </c>
      <c r="AN81" s="10">
        <f t="shared" si="167"/>
        <v>0.78283006070961358</v>
      </c>
      <c r="AO81" s="10">
        <f t="shared" si="167"/>
        <v>0.78283006070961358</v>
      </c>
      <c r="AP81" s="10">
        <f t="shared" si="167"/>
        <v>0.78283006070961358</v>
      </c>
      <c r="AQ81" s="10">
        <f t="shared" si="167"/>
        <v>0.78283006070961358</v>
      </c>
      <c r="AR81" s="10">
        <f t="shared" si="167"/>
        <v>0.78283006070961358</v>
      </c>
      <c r="AS81" s="10">
        <f t="shared" si="167"/>
        <v>0.78283006070961358</v>
      </c>
      <c r="AT81" s="10">
        <f t="shared" si="167"/>
        <v>0.78283006070961358</v>
      </c>
      <c r="AU81" s="10">
        <f t="shared" si="167"/>
        <v>0.78283006070961358</v>
      </c>
      <c r="AV81" s="10">
        <f t="shared" si="167"/>
        <v>0.78283006070961358</v>
      </c>
      <c r="AW81" s="10">
        <f t="shared" si="167"/>
        <v>0.78283006070961358</v>
      </c>
      <c r="AX81" s="10">
        <f t="shared" si="167"/>
        <v>0.78283006070961358</v>
      </c>
      <c r="AY81" s="10">
        <f t="shared" si="167"/>
        <v>0.78283006070961358</v>
      </c>
      <c r="AZ81" s="10">
        <f t="shared" si="167"/>
        <v>0.78283006070961358</v>
      </c>
      <c r="BA81" s="10">
        <f t="shared" si="167"/>
        <v>0.78283006070961358</v>
      </c>
      <c r="BB81" s="10">
        <f t="shared" si="167"/>
        <v>0.78283006070961358</v>
      </c>
      <c r="BC81" s="10">
        <f t="shared" si="167"/>
        <v>0.78283006070961358</v>
      </c>
      <c r="BD81" s="10">
        <f t="shared" si="167"/>
        <v>0.78283006070961358</v>
      </c>
      <c r="BE81" s="10">
        <f t="shared" si="167"/>
        <v>0.78283006070961358</v>
      </c>
      <c r="BF81" s="10">
        <f t="shared" si="167"/>
        <v>0.78283006070961358</v>
      </c>
      <c r="BG81" s="10">
        <f t="shared" si="167"/>
        <v>0.78283006070961358</v>
      </c>
      <c r="BH81" s="10">
        <f t="shared" si="167"/>
        <v>0.78283006070961358</v>
      </c>
      <c r="BI81" s="10">
        <f t="shared" si="167"/>
        <v>0.78283006070961358</v>
      </c>
      <c r="BJ81" s="10">
        <f t="shared" si="167"/>
        <v>0.78283006070961358</v>
      </c>
      <c r="BK81" s="10">
        <f t="shared" si="167"/>
        <v>0.78283006070961358</v>
      </c>
      <c r="BL81" s="10">
        <f t="shared" si="167"/>
        <v>0.78283006070961358</v>
      </c>
      <c r="BM81" s="10">
        <f t="shared" si="167"/>
        <v>0.78283006070961358</v>
      </c>
      <c r="BN81" s="10">
        <f t="shared" si="167"/>
        <v>0.78283006070961358</v>
      </c>
      <c r="BO81" s="10">
        <f t="shared" ref="BO81:CG81" si="168">2*BO$10*(BO$5+BO$11*BO$6)/(SQRT(2)*BO$8*SIN(BO33))</f>
        <v>0.78283006070961358</v>
      </c>
      <c r="BP81" s="10">
        <f t="shared" si="168"/>
        <v>0.78283006070961358</v>
      </c>
      <c r="BQ81" s="10">
        <f t="shared" si="168"/>
        <v>0.78283006070961358</v>
      </c>
      <c r="BR81" s="10">
        <f t="shared" si="168"/>
        <v>0.78283006070961358</v>
      </c>
      <c r="BS81" s="10">
        <f t="shared" si="168"/>
        <v>0.78283006070961358</v>
      </c>
      <c r="BT81" s="10">
        <f t="shared" si="168"/>
        <v>0.78283006070961358</v>
      </c>
      <c r="BU81" s="10">
        <f t="shared" si="168"/>
        <v>0.78283006070961358</v>
      </c>
      <c r="BV81" s="10">
        <f t="shared" si="168"/>
        <v>0.78283006070961358</v>
      </c>
      <c r="BW81" s="10">
        <f t="shared" si="168"/>
        <v>0.78283006070961358</v>
      </c>
      <c r="BX81" s="10">
        <f t="shared" si="168"/>
        <v>0.78283006070961358</v>
      </c>
      <c r="BY81" s="10">
        <f t="shared" si="168"/>
        <v>0.78283006070961358</v>
      </c>
      <c r="BZ81" s="10">
        <f t="shared" si="168"/>
        <v>0.78283006070961358</v>
      </c>
      <c r="CA81" s="10">
        <f t="shared" si="168"/>
        <v>0.78283006070961358</v>
      </c>
      <c r="CB81" s="10">
        <f t="shared" si="168"/>
        <v>0.78283006070961358</v>
      </c>
      <c r="CC81" s="10">
        <f t="shared" si="168"/>
        <v>0.78283006070961358</v>
      </c>
      <c r="CD81" s="10">
        <f t="shared" si="168"/>
        <v>0.78283006070961358</v>
      </c>
      <c r="CE81" s="10">
        <f t="shared" si="168"/>
        <v>0.78283006070961358</v>
      </c>
      <c r="CF81" s="10">
        <f t="shared" si="168"/>
        <v>0.78283006070961358</v>
      </c>
      <c r="CG81" s="10">
        <f t="shared" si="168"/>
        <v>0.78283006070961358</v>
      </c>
    </row>
    <row r="82" spans="2:86" ht="16.5" customHeight="1">
      <c r="B82" s="10" t="s">
        <v>837</v>
      </c>
      <c r="C82" s="10">
        <f t="shared" ref="C82:AH82" si="169">2*C$10*(C$5+C$11*C$6)/(SQRT(2)*C$8*SIN(C34))</f>
        <v>0.8104453151616422</v>
      </c>
      <c r="D82" s="10">
        <f t="shared" si="169"/>
        <v>0.8104453151616422</v>
      </c>
      <c r="E82" s="10">
        <f t="shared" si="169"/>
        <v>0.8104453151616422</v>
      </c>
      <c r="F82" s="10">
        <f t="shared" si="169"/>
        <v>0.8104453151616422</v>
      </c>
      <c r="G82" s="10">
        <f t="shared" si="169"/>
        <v>0.8104453151616422</v>
      </c>
      <c r="H82" s="10">
        <f t="shared" si="169"/>
        <v>0.8104453151616422</v>
      </c>
      <c r="I82" s="10">
        <f t="shared" si="169"/>
        <v>0.8104453151616422</v>
      </c>
      <c r="J82" s="10">
        <f t="shared" si="169"/>
        <v>0.8104453151616422</v>
      </c>
      <c r="K82" s="10">
        <f t="shared" si="169"/>
        <v>0.8104453151616422</v>
      </c>
      <c r="L82" s="10">
        <f t="shared" si="169"/>
        <v>0.8104453151616422</v>
      </c>
      <c r="M82" s="10">
        <f t="shared" si="169"/>
        <v>0.8104453151616422</v>
      </c>
      <c r="N82" s="10">
        <f t="shared" si="169"/>
        <v>0.8104453151616422</v>
      </c>
      <c r="O82" s="10">
        <f t="shared" si="169"/>
        <v>0.8104453151616422</v>
      </c>
      <c r="P82" s="10">
        <f t="shared" si="169"/>
        <v>0.8104453151616422</v>
      </c>
      <c r="Q82" s="10">
        <f t="shared" si="169"/>
        <v>0.8104453151616422</v>
      </c>
      <c r="R82" s="10">
        <f t="shared" si="169"/>
        <v>0.8104453151616422</v>
      </c>
      <c r="S82" s="10">
        <f t="shared" si="169"/>
        <v>0.8104453151616422</v>
      </c>
      <c r="T82" s="10">
        <f t="shared" si="169"/>
        <v>0.8104453151616422</v>
      </c>
      <c r="U82" s="10">
        <f t="shared" si="169"/>
        <v>0.8104453151616422</v>
      </c>
      <c r="V82" s="10">
        <f t="shared" si="169"/>
        <v>0.8104453151616422</v>
      </c>
      <c r="W82" s="10">
        <f t="shared" si="169"/>
        <v>0.8104453151616422</v>
      </c>
      <c r="X82" s="10">
        <f t="shared" si="169"/>
        <v>0.8104453151616422</v>
      </c>
      <c r="Y82" s="10">
        <f t="shared" si="169"/>
        <v>0.8104453151616422</v>
      </c>
      <c r="Z82" s="10">
        <f t="shared" si="169"/>
        <v>0.8104453151616422</v>
      </c>
      <c r="AA82" s="10">
        <f t="shared" si="169"/>
        <v>0.8104453151616422</v>
      </c>
      <c r="AB82" s="10">
        <f t="shared" si="169"/>
        <v>0.8104453151616422</v>
      </c>
      <c r="AC82" s="10">
        <f t="shared" si="169"/>
        <v>0.8104453151616422</v>
      </c>
      <c r="AD82" s="10">
        <f t="shared" si="169"/>
        <v>0.8104453151616422</v>
      </c>
      <c r="AE82" s="10">
        <f t="shared" si="169"/>
        <v>0.8104453151616422</v>
      </c>
      <c r="AF82" s="10">
        <f t="shared" si="169"/>
        <v>0.8104453151616422</v>
      </c>
      <c r="AG82" s="10">
        <f t="shared" si="169"/>
        <v>0.8104453151616422</v>
      </c>
      <c r="AH82" s="10">
        <f t="shared" si="169"/>
        <v>0.8104453151616422</v>
      </c>
      <c r="AI82" s="10">
        <f t="shared" ref="AI82:BN82" si="170">2*AI$10*(AI$5+AI$11*AI$6)/(SQRT(2)*AI$8*SIN(AI34))</f>
        <v>0.8104453151616422</v>
      </c>
      <c r="AJ82" s="10">
        <f t="shared" si="170"/>
        <v>0.8104453151616422</v>
      </c>
      <c r="AK82" s="10">
        <f t="shared" si="170"/>
        <v>0.8104453151616422</v>
      </c>
      <c r="AL82" s="10">
        <f t="shared" si="170"/>
        <v>0.8104453151616422</v>
      </c>
      <c r="AM82" s="10">
        <f t="shared" si="170"/>
        <v>0.8104453151616422</v>
      </c>
      <c r="AN82" s="10">
        <f t="shared" si="170"/>
        <v>0.8104453151616422</v>
      </c>
      <c r="AO82" s="10">
        <f t="shared" si="170"/>
        <v>0.8104453151616422</v>
      </c>
      <c r="AP82" s="10">
        <f t="shared" si="170"/>
        <v>0.8104453151616422</v>
      </c>
      <c r="AQ82" s="10">
        <f t="shared" si="170"/>
        <v>0.8104453151616422</v>
      </c>
      <c r="AR82" s="10">
        <f t="shared" si="170"/>
        <v>0.8104453151616422</v>
      </c>
      <c r="AS82" s="10">
        <f t="shared" si="170"/>
        <v>0.8104453151616422</v>
      </c>
      <c r="AT82" s="10">
        <f t="shared" si="170"/>
        <v>0.8104453151616422</v>
      </c>
      <c r="AU82" s="10">
        <f t="shared" si="170"/>
        <v>0.8104453151616422</v>
      </c>
      <c r="AV82" s="10">
        <f t="shared" si="170"/>
        <v>0.8104453151616422</v>
      </c>
      <c r="AW82" s="10">
        <f t="shared" si="170"/>
        <v>0.8104453151616422</v>
      </c>
      <c r="AX82" s="10">
        <f t="shared" si="170"/>
        <v>0.8104453151616422</v>
      </c>
      <c r="AY82" s="10">
        <f t="shared" si="170"/>
        <v>0.8104453151616422</v>
      </c>
      <c r="AZ82" s="10">
        <f t="shared" si="170"/>
        <v>0.8104453151616422</v>
      </c>
      <c r="BA82" s="10">
        <f t="shared" si="170"/>
        <v>0.8104453151616422</v>
      </c>
      <c r="BB82" s="10">
        <f t="shared" si="170"/>
        <v>0.8104453151616422</v>
      </c>
      <c r="BC82" s="10">
        <f t="shared" si="170"/>
        <v>0.8104453151616422</v>
      </c>
      <c r="BD82" s="10">
        <f t="shared" si="170"/>
        <v>0.8104453151616422</v>
      </c>
      <c r="BE82" s="10">
        <f t="shared" si="170"/>
        <v>0.8104453151616422</v>
      </c>
      <c r="BF82" s="10">
        <f t="shared" si="170"/>
        <v>0.8104453151616422</v>
      </c>
      <c r="BG82" s="10">
        <f t="shared" si="170"/>
        <v>0.8104453151616422</v>
      </c>
      <c r="BH82" s="10">
        <f t="shared" si="170"/>
        <v>0.8104453151616422</v>
      </c>
      <c r="BI82" s="10">
        <f t="shared" si="170"/>
        <v>0.8104453151616422</v>
      </c>
      <c r="BJ82" s="10">
        <f t="shared" si="170"/>
        <v>0.8104453151616422</v>
      </c>
      <c r="BK82" s="10">
        <f t="shared" si="170"/>
        <v>0.8104453151616422</v>
      </c>
      <c r="BL82" s="10">
        <f t="shared" si="170"/>
        <v>0.8104453151616422</v>
      </c>
      <c r="BM82" s="10">
        <f t="shared" si="170"/>
        <v>0.8104453151616422</v>
      </c>
      <c r="BN82" s="10">
        <f t="shared" si="170"/>
        <v>0.8104453151616422</v>
      </c>
      <c r="BO82" s="10">
        <f t="shared" ref="BO82:CG82" si="171">2*BO$10*(BO$5+BO$11*BO$6)/(SQRT(2)*BO$8*SIN(BO34))</f>
        <v>0.8104453151616422</v>
      </c>
      <c r="BP82" s="10">
        <f t="shared" si="171"/>
        <v>0.8104453151616422</v>
      </c>
      <c r="BQ82" s="10">
        <f t="shared" si="171"/>
        <v>0.8104453151616422</v>
      </c>
      <c r="BR82" s="10">
        <f t="shared" si="171"/>
        <v>0.8104453151616422</v>
      </c>
      <c r="BS82" s="10">
        <f t="shared" si="171"/>
        <v>0.8104453151616422</v>
      </c>
      <c r="BT82" s="10">
        <f t="shared" si="171"/>
        <v>0.8104453151616422</v>
      </c>
      <c r="BU82" s="10">
        <f t="shared" si="171"/>
        <v>0.8104453151616422</v>
      </c>
      <c r="BV82" s="10">
        <f t="shared" si="171"/>
        <v>0.8104453151616422</v>
      </c>
      <c r="BW82" s="10">
        <f t="shared" si="171"/>
        <v>0.8104453151616422</v>
      </c>
      <c r="BX82" s="10">
        <f t="shared" si="171"/>
        <v>0.8104453151616422</v>
      </c>
      <c r="BY82" s="10">
        <f t="shared" si="171"/>
        <v>0.8104453151616422</v>
      </c>
      <c r="BZ82" s="10">
        <f t="shared" si="171"/>
        <v>0.8104453151616422</v>
      </c>
      <c r="CA82" s="10">
        <f t="shared" si="171"/>
        <v>0.8104453151616422</v>
      </c>
      <c r="CB82" s="10">
        <f t="shared" si="171"/>
        <v>0.8104453151616422</v>
      </c>
      <c r="CC82" s="10">
        <f t="shared" si="171"/>
        <v>0.8104453151616422</v>
      </c>
      <c r="CD82" s="10">
        <f t="shared" si="171"/>
        <v>0.8104453151616422</v>
      </c>
      <c r="CE82" s="10">
        <f t="shared" si="171"/>
        <v>0.8104453151616422</v>
      </c>
      <c r="CF82" s="10">
        <f t="shared" si="171"/>
        <v>0.8104453151616422</v>
      </c>
      <c r="CG82" s="10">
        <f t="shared" si="171"/>
        <v>0.8104453151616422</v>
      </c>
    </row>
    <row r="83" spans="2:86" ht="16.5" customHeight="1">
      <c r="B83" s="10" t="s">
        <v>838</v>
      </c>
      <c r="C83" s="10">
        <f t="shared" ref="C83:AH83" si="172">2*C$10*(C$5+C$11*C$6)/(SQRT(2)*C$8*SIN(C35))</f>
        <v>0.903934292560853</v>
      </c>
      <c r="D83" s="10">
        <f t="shared" si="172"/>
        <v>0.903934292560853</v>
      </c>
      <c r="E83" s="10">
        <f t="shared" si="172"/>
        <v>0.903934292560853</v>
      </c>
      <c r="F83" s="10">
        <f t="shared" si="172"/>
        <v>0.903934292560853</v>
      </c>
      <c r="G83" s="10">
        <f t="shared" si="172"/>
        <v>0.903934292560853</v>
      </c>
      <c r="H83" s="10">
        <f t="shared" si="172"/>
        <v>0.903934292560853</v>
      </c>
      <c r="I83" s="10">
        <f t="shared" si="172"/>
        <v>0.903934292560853</v>
      </c>
      <c r="J83" s="10">
        <f t="shared" si="172"/>
        <v>0.903934292560853</v>
      </c>
      <c r="K83" s="10">
        <f t="shared" si="172"/>
        <v>0.903934292560853</v>
      </c>
      <c r="L83" s="10">
        <f t="shared" si="172"/>
        <v>0.903934292560853</v>
      </c>
      <c r="M83" s="10">
        <f t="shared" si="172"/>
        <v>0.903934292560853</v>
      </c>
      <c r="N83" s="10">
        <f t="shared" si="172"/>
        <v>0.903934292560853</v>
      </c>
      <c r="O83" s="10">
        <f t="shared" si="172"/>
        <v>0.903934292560853</v>
      </c>
      <c r="P83" s="10">
        <f t="shared" si="172"/>
        <v>0.903934292560853</v>
      </c>
      <c r="Q83" s="10">
        <f t="shared" si="172"/>
        <v>0.903934292560853</v>
      </c>
      <c r="R83" s="10">
        <f t="shared" si="172"/>
        <v>0.903934292560853</v>
      </c>
      <c r="S83" s="10">
        <f t="shared" si="172"/>
        <v>0.903934292560853</v>
      </c>
      <c r="T83" s="10">
        <f t="shared" si="172"/>
        <v>0.903934292560853</v>
      </c>
      <c r="U83" s="10">
        <f t="shared" si="172"/>
        <v>0.903934292560853</v>
      </c>
      <c r="V83" s="10">
        <f t="shared" si="172"/>
        <v>0.903934292560853</v>
      </c>
      <c r="W83" s="10">
        <f t="shared" si="172"/>
        <v>0.903934292560853</v>
      </c>
      <c r="X83" s="10">
        <f t="shared" si="172"/>
        <v>0.903934292560853</v>
      </c>
      <c r="Y83" s="10">
        <f t="shared" si="172"/>
        <v>0.903934292560853</v>
      </c>
      <c r="Z83" s="10">
        <f t="shared" si="172"/>
        <v>0.903934292560853</v>
      </c>
      <c r="AA83" s="10">
        <f t="shared" si="172"/>
        <v>0.903934292560853</v>
      </c>
      <c r="AB83" s="10">
        <f t="shared" si="172"/>
        <v>0.903934292560853</v>
      </c>
      <c r="AC83" s="10">
        <f t="shared" si="172"/>
        <v>0.903934292560853</v>
      </c>
      <c r="AD83" s="10">
        <f t="shared" si="172"/>
        <v>0.903934292560853</v>
      </c>
      <c r="AE83" s="10">
        <f t="shared" si="172"/>
        <v>0.903934292560853</v>
      </c>
      <c r="AF83" s="10">
        <f t="shared" si="172"/>
        <v>0.903934292560853</v>
      </c>
      <c r="AG83" s="10">
        <f t="shared" si="172"/>
        <v>0.903934292560853</v>
      </c>
      <c r="AH83" s="10">
        <f t="shared" si="172"/>
        <v>0.903934292560853</v>
      </c>
      <c r="AI83" s="10">
        <f t="shared" ref="AI83:BN83" si="173">2*AI$10*(AI$5+AI$11*AI$6)/(SQRT(2)*AI$8*SIN(AI35))</f>
        <v>0.903934292560853</v>
      </c>
      <c r="AJ83" s="10">
        <f t="shared" si="173"/>
        <v>0.903934292560853</v>
      </c>
      <c r="AK83" s="10">
        <f t="shared" si="173"/>
        <v>0.903934292560853</v>
      </c>
      <c r="AL83" s="10">
        <f t="shared" si="173"/>
        <v>0.903934292560853</v>
      </c>
      <c r="AM83" s="10">
        <f t="shared" si="173"/>
        <v>0.903934292560853</v>
      </c>
      <c r="AN83" s="10">
        <f t="shared" si="173"/>
        <v>0.903934292560853</v>
      </c>
      <c r="AO83" s="10">
        <f t="shared" si="173"/>
        <v>0.903934292560853</v>
      </c>
      <c r="AP83" s="10">
        <f t="shared" si="173"/>
        <v>0.903934292560853</v>
      </c>
      <c r="AQ83" s="10">
        <f t="shared" si="173"/>
        <v>0.903934292560853</v>
      </c>
      <c r="AR83" s="10">
        <f t="shared" si="173"/>
        <v>0.903934292560853</v>
      </c>
      <c r="AS83" s="10">
        <f t="shared" si="173"/>
        <v>0.903934292560853</v>
      </c>
      <c r="AT83" s="10">
        <f t="shared" si="173"/>
        <v>0.903934292560853</v>
      </c>
      <c r="AU83" s="10">
        <f t="shared" si="173"/>
        <v>0.903934292560853</v>
      </c>
      <c r="AV83" s="10">
        <f t="shared" si="173"/>
        <v>0.903934292560853</v>
      </c>
      <c r="AW83" s="10">
        <f t="shared" si="173"/>
        <v>0.903934292560853</v>
      </c>
      <c r="AX83" s="10">
        <f t="shared" si="173"/>
        <v>0.903934292560853</v>
      </c>
      <c r="AY83" s="10">
        <f t="shared" si="173"/>
        <v>0.903934292560853</v>
      </c>
      <c r="AZ83" s="10">
        <f t="shared" si="173"/>
        <v>0.903934292560853</v>
      </c>
      <c r="BA83" s="10">
        <f t="shared" si="173"/>
        <v>0.903934292560853</v>
      </c>
      <c r="BB83" s="10">
        <f t="shared" si="173"/>
        <v>0.903934292560853</v>
      </c>
      <c r="BC83" s="10">
        <f t="shared" si="173"/>
        <v>0.903934292560853</v>
      </c>
      <c r="BD83" s="10">
        <f t="shared" si="173"/>
        <v>0.903934292560853</v>
      </c>
      <c r="BE83" s="10">
        <f t="shared" si="173"/>
        <v>0.903934292560853</v>
      </c>
      <c r="BF83" s="10">
        <f t="shared" si="173"/>
        <v>0.903934292560853</v>
      </c>
      <c r="BG83" s="10">
        <f t="shared" si="173"/>
        <v>0.903934292560853</v>
      </c>
      <c r="BH83" s="10">
        <f t="shared" si="173"/>
        <v>0.903934292560853</v>
      </c>
      <c r="BI83" s="10">
        <f t="shared" si="173"/>
        <v>0.903934292560853</v>
      </c>
      <c r="BJ83" s="10">
        <f t="shared" si="173"/>
        <v>0.903934292560853</v>
      </c>
      <c r="BK83" s="10">
        <f t="shared" si="173"/>
        <v>0.903934292560853</v>
      </c>
      <c r="BL83" s="10">
        <f t="shared" si="173"/>
        <v>0.903934292560853</v>
      </c>
      <c r="BM83" s="10">
        <f t="shared" si="173"/>
        <v>0.903934292560853</v>
      </c>
      <c r="BN83" s="10">
        <f t="shared" si="173"/>
        <v>0.903934292560853</v>
      </c>
      <c r="BO83" s="10">
        <f t="shared" ref="BO83:CG83" si="174">2*BO$10*(BO$5+BO$11*BO$6)/(SQRT(2)*BO$8*SIN(BO35))</f>
        <v>0.903934292560853</v>
      </c>
      <c r="BP83" s="10">
        <f t="shared" si="174"/>
        <v>0.903934292560853</v>
      </c>
      <c r="BQ83" s="10">
        <f t="shared" si="174"/>
        <v>0.903934292560853</v>
      </c>
      <c r="BR83" s="10">
        <f t="shared" si="174"/>
        <v>0.903934292560853</v>
      </c>
      <c r="BS83" s="10">
        <f t="shared" si="174"/>
        <v>0.903934292560853</v>
      </c>
      <c r="BT83" s="10">
        <f t="shared" si="174"/>
        <v>0.903934292560853</v>
      </c>
      <c r="BU83" s="10">
        <f t="shared" si="174"/>
        <v>0.903934292560853</v>
      </c>
      <c r="BV83" s="10">
        <f t="shared" si="174"/>
        <v>0.903934292560853</v>
      </c>
      <c r="BW83" s="10">
        <f t="shared" si="174"/>
        <v>0.903934292560853</v>
      </c>
      <c r="BX83" s="10">
        <f t="shared" si="174"/>
        <v>0.903934292560853</v>
      </c>
      <c r="BY83" s="10">
        <f t="shared" si="174"/>
        <v>0.903934292560853</v>
      </c>
      <c r="BZ83" s="10">
        <f t="shared" si="174"/>
        <v>0.903934292560853</v>
      </c>
      <c r="CA83" s="10">
        <f t="shared" si="174"/>
        <v>0.903934292560853</v>
      </c>
      <c r="CB83" s="10">
        <f t="shared" si="174"/>
        <v>0.903934292560853</v>
      </c>
      <c r="CC83" s="10">
        <f t="shared" si="174"/>
        <v>0.903934292560853</v>
      </c>
      <c r="CD83" s="10">
        <f t="shared" si="174"/>
        <v>0.903934292560853</v>
      </c>
      <c r="CE83" s="10">
        <f t="shared" si="174"/>
        <v>0.903934292560853</v>
      </c>
      <c r="CF83" s="10">
        <f t="shared" si="174"/>
        <v>0.903934292560853</v>
      </c>
      <c r="CG83" s="10">
        <f t="shared" si="174"/>
        <v>0.903934292560853</v>
      </c>
    </row>
    <row r="84" spans="2:86" ht="16.5" customHeight="1">
      <c r="B84" s="10" t="s">
        <v>839</v>
      </c>
      <c r="C84" s="10">
        <f t="shared" ref="C84:AH84" si="175">2*C$10*(C$5+C$11*C$6)/(SQRT(2)*C$8*SIN(C36))</f>
        <v>1.107088888888889</v>
      </c>
      <c r="D84" s="10">
        <f t="shared" si="175"/>
        <v>1.107088888888889</v>
      </c>
      <c r="E84" s="10">
        <f t="shared" si="175"/>
        <v>1.107088888888889</v>
      </c>
      <c r="F84" s="10">
        <f t="shared" si="175"/>
        <v>1.107088888888889</v>
      </c>
      <c r="G84" s="10">
        <f t="shared" si="175"/>
        <v>1.107088888888889</v>
      </c>
      <c r="H84" s="10">
        <f t="shared" si="175"/>
        <v>1.107088888888889</v>
      </c>
      <c r="I84" s="10">
        <f t="shared" si="175"/>
        <v>1.107088888888889</v>
      </c>
      <c r="J84" s="10">
        <f t="shared" si="175"/>
        <v>1.107088888888889</v>
      </c>
      <c r="K84" s="10">
        <f t="shared" si="175"/>
        <v>1.107088888888889</v>
      </c>
      <c r="L84" s="10">
        <f t="shared" si="175"/>
        <v>1.107088888888889</v>
      </c>
      <c r="M84" s="10">
        <f t="shared" si="175"/>
        <v>1.107088888888889</v>
      </c>
      <c r="N84" s="10">
        <f t="shared" si="175"/>
        <v>1.107088888888889</v>
      </c>
      <c r="O84" s="10">
        <f t="shared" si="175"/>
        <v>1.107088888888889</v>
      </c>
      <c r="P84" s="10">
        <f t="shared" si="175"/>
        <v>1.107088888888889</v>
      </c>
      <c r="Q84" s="10">
        <f t="shared" si="175"/>
        <v>1.107088888888889</v>
      </c>
      <c r="R84" s="10">
        <f t="shared" si="175"/>
        <v>1.107088888888889</v>
      </c>
      <c r="S84" s="10">
        <f t="shared" si="175"/>
        <v>1.107088888888889</v>
      </c>
      <c r="T84" s="10">
        <f t="shared" si="175"/>
        <v>1.107088888888889</v>
      </c>
      <c r="U84" s="10">
        <f t="shared" si="175"/>
        <v>1.107088888888889</v>
      </c>
      <c r="V84" s="10">
        <f t="shared" si="175"/>
        <v>1.107088888888889</v>
      </c>
      <c r="W84" s="10">
        <f t="shared" si="175"/>
        <v>1.107088888888889</v>
      </c>
      <c r="X84" s="10">
        <f t="shared" si="175"/>
        <v>1.107088888888889</v>
      </c>
      <c r="Y84" s="10">
        <f t="shared" si="175"/>
        <v>1.107088888888889</v>
      </c>
      <c r="Z84" s="10">
        <f t="shared" si="175"/>
        <v>1.107088888888889</v>
      </c>
      <c r="AA84" s="10">
        <f t="shared" si="175"/>
        <v>1.107088888888889</v>
      </c>
      <c r="AB84" s="10">
        <f t="shared" si="175"/>
        <v>1.107088888888889</v>
      </c>
      <c r="AC84" s="10">
        <f t="shared" si="175"/>
        <v>1.107088888888889</v>
      </c>
      <c r="AD84" s="10">
        <f t="shared" si="175"/>
        <v>1.107088888888889</v>
      </c>
      <c r="AE84" s="10">
        <f t="shared" si="175"/>
        <v>1.107088888888889</v>
      </c>
      <c r="AF84" s="10">
        <f t="shared" si="175"/>
        <v>1.107088888888889</v>
      </c>
      <c r="AG84" s="10">
        <f t="shared" si="175"/>
        <v>1.107088888888889</v>
      </c>
      <c r="AH84" s="10">
        <f t="shared" si="175"/>
        <v>1.107088888888889</v>
      </c>
      <c r="AI84" s="10">
        <f t="shared" ref="AI84:BN84" si="176">2*AI$10*(AI$5+AI$11*AI$6)/(SQRT(2)*AI$8*SIN(AI36))</f>
        <v>1.107088888888889</v>
      </c>
      <c r="AJ84" s="10">
        <f t="shared" si="176"/>
        <v>1.107088888888889</v>
      </c>
      <c r="AK84" s="10">
        <f t="shared" si="176"/>
        <v>1.107088888888889</v>
      </c>
      <c r="AL84" s="10">
        <f t="shared" si="176"/>
        <v>1.107088888888889</v>
      </c>
      <c r="AM84" s="10">
        <f t="shared" si="176"/>
        <v>1.107088888888889</v>
      </c>
      <c r="AN84" s="10">
        <f t="shared" si="176"/>
        <v>1.107088888888889</v>
      </c>
      <c r="AO84" s="10">
        <f t="shared" si="176"/>
        <v>1.107088888888889</v>
      </c>
      <c r="AP84" s="10">
        <f t="shared" si="176"/>
        <v>1.107088888888889</v>
      </c>
      <c r="AQ84" s="10">
        <f t="shared" si="176"/>
        <v>1.107088888888889</v>
      </c>
      <c r="AR84" s="10">
        <f t="shared" si="176"/>
        <v>1.107088888888889</v>
      </c>
      <c r="AS84" s="10">
        <f t="shared" si="176"/>
        <v>1.107088888888889</v>
      </c>
      <c r="AT84" s="10">
        <f t="shared" si="176"/>
        <v>1.107088888888889</v>
      </c>
      <c r="AU84" s="10">
        <f t="shared" si="176"/>
        <v>1.107088888888889</v>
      </c>
      <c r="AV84" s="10">
        <f t="shared" si="176"/>
        <v>1.107088888888889</v>
      </c>
      <c r="AW84" s="10">
        <f t="shared" si="176"/>
        <v>1.107088888888889</v>
      </c>
      <c r="AX84" s="10">
        <f t="shared" si="176"/>
        <v>1.107088888888889</v>
      </c>
      <c r="AY84" s="10">
        <f t="shared" si="176"/>
        <v>1.107088888888889</v>
      </c>
      <c r="AZ84" s="10">
        <f t="shared" si="176"/>
        <v>1.107088888888889</v>
      </c>
      <c r="BA84" s="10">
        <f t="shared" si="176"/>
        <v>1.107088888888889</v>
      </c>
      <c r="BB84" s="10">
        <f t="shared" si="176"/>
        <v>1.107088888888889</v>
      </c>
      <c r="BC84" s="10">
        <f t="shared" si="176"/>
        <v>1.107088888888889</v>
      </c>
      <c r="BD84" s="10">
        <f t="shared" si="176"/>
        <v>1.107088888888889</v>
      </c>
      <c r="BE84" s="10">
        <f t="shared" si="176"/>
        <v>1.107088888888889</v>
      </c>
      <c r="BF84" s="10">
        <f t="shared" si="176"/>
        <v>1.107088888888889</v>
      </c>
      <c r="BG84" s="10">
        <f t="shared" si="176"/>
        <v>1.107088888888889</v>
      </c>
      <c r="BH84" s="10">
        <f t="shared" si="176"/>
        <v>1.107088888888889</v>
      </c>
      <c r="BI84" s="10">
        <f t="shared" si="176"/>
        <v>1.107088888888889</v>
      </c>
      <c r="BJ84" s="10">
        <f t="shared" si="176"/>
        <v>1.107088888888889</v>
      </c>
      <c r="BK84" s="10">
        <f t="shared" si="176"/>
        <v>1.107088888888889</v>
      </c>
      <c r="BL84" s="10">
        <f t="shared" si="176"/>
        <v>1.107088888888889</v>
      </c>
      <c r="BM84" s="10">
        <f t="shared" si="176"/>
        <v>1.107088888888889</v>
      </c>
      <c r="BN84" s="10">
        <f t="shared" si="176"/>
        <v>1.107088888888889</v>
      </c>
      <c r="BO84" s="10">
        <f t="shared" ref="BO84:CG84" si="177">2*BO$10*(BO$5+BO$11*BO$6)/(SQRT(2)*BO$8*SIN(BO36))</f>
        <v>1.107088888888889</v>
      </c>
      <c r="BP84" s="10">
        <f t="shared" si="177"/>
        <v>1.107088888888889</v>
      </c>
      <c r="BQ84" s="10">
        <f t="shared" si="177"/>
        <v>1.107088888888889</v>
      </c>
      <c r="BR84" s="10">
        <f t="shared" si="177"/>
        <v>1.107088888888889</v>
      </c>
      <c r="BS84" s="10">
        <f t="shared" si="177"/>
        <v>1.107088888888889</v>
      </c>
      <c r="BT84" s="10">
        <f t="shared" si="177"/>
        <v>1.107088888888889</v>
      </c>
      <c r="BU84" s="10">
        <f t="shared" si="177"/>
        <v>1.107088888888889</v>
      </c>
      <c r="BV84" s="10">
        <f t="shared" si="177"/>
        <v>1.107088888888889</v>
      </c>
      <c r="BW84" s="10">
        <f t="shared" si="177"/>
        <v>1.107088888888889</v>
      </c>
      <c r="BX84" s="10">
        <f t="shared" si="177"/>
        <v>1.107088888888889</v>
      </c>
      <c r="BY84" s="10">
        <f t="shared" si="177"/>
        <v>1.107088888888889</v>
      </c>
      <c r="BZ84" s="10">
        <f t="shared" si="177"/>
        <v>1.107088888888889</v>
      </c>
      <c r="CA84" s="10">
        <f t="shared" si="177"/>
        <v>1.107088888888889</v>
      </c>
      <c r="CB84" s="10">
        <f t="shared" si="177"/>
        <v>1.107088888888889</v>
      </c>
      <c r="CC84" s="10">
        <f t="shared" si="177"/>
        <v>1.107088888888889</v>
      </c>
      <c r="CD84" s="10">
        <f t="shared" si="177"/>
        <v>1.107088888888889</v>
      </c>
      <c r="CE84" s="10">
        <f t="shared" si="177"/>
        <v>1.107088888888889</v>
      </c>
      <c r="CF84" s="10">
        <f t="shared" si="177"/>
        <v>1.107088888888889</v>
      </c>
      <c r="CG84" s="10">
        <f t="shared" si="177"/>
        <v>1.107088888888889</v>
      </c>
    </row>
    <row r="85" spans="2:86" ht="16.5" customHeight="1">
      <c r="B85" s="10" t="s">
        <v>840</v>
      </c>
      <c r="C85" s="10">
        <f t="shared" ref="C85:AH85" si="178">2*C$10*(C$5+C$11*C$6)/(SQRT(2)*C$8*SIN(C37))</f>
        <v>1.5656601214192276</v>
      </c>
      <c r="D85" s="10">
        <f t="shared" si="178"/>
        <v>1.5656601214192276</v>
      </c>
      <c r="E85" s="10">
        <f t="shared" si="178"/>
        <v>1.5656601214192276</v>
      </c>
      <c r="F85" s="10">
        <f t="shared" si="178"/>
        <v>1.5656601214192276</v>
      </c>
      <c r="G85" s="10">
        <f t="shared" si="178"/>
        <v>1.5656601214192276</v>
      </c>
      <c r="H85" s="10">
        <f t="shared" si="178"/>
        <v>1.5656601214192276</v>
      </c>
      <c r="I85" s="10">
        <f t="shared" si="178"/>
        <v>1.5656601214192276</v>
      </c>
      <c r="J85" s="10">
        <f t="shared" si="178"/>
        <v>1.5656601214192276</v>
      </c>
      <c r="K85" s="10">
        <f t="shared" si="178"/>
        <v>1.5656601214192276</v>
      </c>
      <c r="L85" s="10">
        <f t="shared" si="178"/>
        <v>1.5656601214192276</v>
      </c>
      <c r="M85" s="10">
        <f t="shared" si="178"/>
        <v>1.5656601214192276</v>
      </c>
      <c r="N85" s="10">
        <f t="shared" si="178"/>
        <v>1.5656601214192276</v>
      </c>
      <c r="O85" s="10">
        <f t="shared" si="178"/>
        <v>1.5656601214192276</v>
      </c>
      <c r="P85" s="10">
        <f t="shared" si="178"/>
        <v>1.5656601214192276</v>
      </c>
      <c r="Q85" s="10">
        <f t="shared" si="178"/>
        <v>1.5656601214192276</v>
      </c>
      <c r="R85" s="10">
        <f t="shared" si="178"/>
        <v>1.5656601214192276</v>
      </c>
      <c r="S85" s="10">
        <f t="shared" si="178"/>
        <v>1.5656601214192276</v>
      </c>
      <c r="T85" s="10">
        <f t="shared" si="178"/>
        <v>1.5656601214192276</v>
      </c>
      <c r="U85" s="10">
        <f t="shared" si="178"/>
        <v>1.5656601214192276</v>
      </c>
      <c r="V85" s="10">
        <f t="shared" si="178"/>
        <v>1.5656601214192276</v>
      </c>
      <c r="W85" s="10">
        <f t="shared" si="178"/>
        <v>1.5656601214192276</v>
      </c>
      <c r="X85" s="10">
        <f t="shared" si="178"/>
        <v>1.5656601214192276</v>
      </c>
      <c r="Y85" s="10">
        <f t="shared" si="178"/>
        <v>1.5656601214192276</v>
      </c>
      <c r="Z85" s="10">
        <f t="shared" si="178"/>
        <v>1.5656601214192276</v>
      </c>
      <c r="AA85" s="10">
        <f t="shared" si="178"/>
        <v>1.5656601214192276</v>
      </c>
      <c r="AB85" s="10">
        <f t="shared" si="178"/>
        <v>1.5656601214192276</v>
      </c>
      <c r="AC85" s="10">
        <f t="shared" si="178"/>
        <v>1.5656601214192276</v>
      </c>
      <c r="AD85" s="10">
        <f t="shared" si="178"/>
        <v>1.5656601214192276</v>
      </c>
      <c r="AE85" s="10">
        <f t="shared" si="178"/>
        <v>1.5656601214192276</v>
      </c>
      <c r="AF85" s="10">
        <f t="shared" si="178"/>
        <v>1.5656601214192276</v>
      </c>
      <c r="AG85" s="10">
        <f t="shared" si="178"/>
        <v>1.5656601214192276</v>
      </c>
      <c r="AH85" s="10">
        <f t="shared" si="178"/>
        <v>1.5656601214192276</v>
      </c>
      <c r="AI85" s="10">
        <f t="shared" ref="AI85:BN85" si="179">2*AI$10*(AI$5+AI$11*AI$6)/(SQRT(2)*AI$8*SIN(AI37))</f>
        <v>1.5656601214192276</v>
      </c>
      <c r="AJ85" s="10">
        <f t="shared" si="179"/>
        <v>1.5656601214192276</v>
      </c>
      <c r="AK85" s="10">
        <f t="shared" si="179"/>
        <v>1.5656601214192276</v>
      </c>
      <c r="AL85" s="10">
        <f t="shared" si="179"/>
        <v>1.5656601214192276</v>
      </c>
      <c r="AM85" s="10">
        <f t="shared" si="179"/>
        <v>1.5656601214192276</v>
      </c>
      <c r="AN85" s="10">
        <f t="shared" si="179"/>
        <v>1.5656601214192276</v>
      </c>
      <c r="AO85" s="10">
        <f t="shared" si="179"/>
        <v>1.5656601214192276</v>
      </c>
      <c r="AP85" s="10">
        <f t="shared" si="179"/>
        <v>1.5656601214192276</v>
      </c>
      <c r="AQ85" s="10">
        <f t="shared" si="179"/>
        <v>1.5656601214192276</v>
      </c>
      <c r="AR85" s="10">
        <f t="shared" si="179"/>
        <v>1.5656601214192276</v>
      </c>
      <c r="AS85" s="10">
        <f t="shared" si="179"/>
        <v>1.5656601214192276</v>
      </c>
      <c r="AT85" s="10">
        <f t="shared" si="179"/>
        <v>1.5656601214192276</v>
      </c>
      <c r="AU85" s="10">
        <f t="shared" si="179"/>
        <v>1.5656601214192276</v>
      </c>
      <c r="AV85" s="10">
        <f t="shared" si="179"/>
        <v>1.5656601214192276</v>
      </c>
      <c r="AW85" s="10">
        <f t="shared" si="179"/>
        <v>1.5656601214192276</v>
      </c>
      <c r="AX85" s="10">
        <f t="shared" si="179"/>
        <v>1.5656601214192276</v>
      </c>
      <c r="AY85" s="10">
        <f t="shared" si="179"/>
        <v>1.5656601214192276</v>
      </c>
      <c r="AZ85" s="10">
        <f t="shared" si="179"/>
        <v>1.5656601214192276</v>
      </c>
      <c r="BA85" s="10">
        <f t="shared" si="179"/>
        <v>1.5656601214192276</v>
      </c>
      <c r="BB85" s="10">
        <f t="shared" si="179"/>
        <v>1.5656601214192276</v>
      </c>
      <c r="BC85" s="10">
        <f t="shared" si="179"/>
        <v>1.5656601214192276</v>
      </c>
      <c r="BD85" s="10">
        <f t="shared" si="179"/>
        <v>1.5656601214192276</v>
      </c>
      <c r="BE85" s="10">
        <f t="shared" si="179"/>
        <v>1.5656601214192276</v>
      </c>
      <c r="BF85" s="10">
        <f t="shared" si="179"/>
        <v>1.5656601214192276</v>
      </c>
      <c r="BG85" s="10">
        <f t="shared" si="179"/>
        <v>1.5656601214192276</v>
      </c>
      <c r="BH85" s="10">
        <f t="shared" si="179"/>
        <v>1.5656601214192276</v>
      </c>
      <c r="BI85" s="10">
        <f t="shared" si="179"/>
        <v>1.5656601214192276</v>
      </c>
      <c r="BJ85" s="10">
        <f t="shared" si="179"/>
        <v>1.5656601214192276</v>
      </c>
      <c r="BK85" s="10">
        <f t="shared" si="179"/>
        <v>1.5656601214192276</v>
      </c>
      <c r="BL85" s="10">
        <f t="shared" si="179"/>
        <v>1.5656601214192276</v>
      </c>
      <c r="BM85" s="10">
        <f t="shared" si="179"/>
        <v>1.5656601214192276</v>
      </c>
      <c r="BN85" s="10">
        <f t="shared" si="179"/>
        <v>1.5656601214192276</v>
      </c>
      <c r="BO85" s="10">
        <f t="shared" ref="BO85:CG85" si="180">2*BO$10*(BO$5+BO$11*BO$6)/(SQRT(2)*BO$8*SIN(BO37))</f>
        <v>1.5656601214192276</v>
      </c>
      <c r="BP85" s="10">
        <f t="shared" si="180"/>
        <v>1.5656601214192276</v>
      </c>
      <c r="BQ85" s="10">
        <f t="shared" si="180"/>
        <v>1.5656601214192276</v>
      </c>
      <c r="BR85" s="10">
        <f t="shared" si="180"/>
        <v>1.5656601214192276</v>
      </c>
      <c r="BS85" s="10">
        <f t="shared" si="180"/>
        <v>1.5656601214192276</v>
      </c>
      <c r="BT85" s="10">
        <f t="shared" si="180"/>
        <v>1.5656601214192276</v>
      </c>
      <c r="BU85" s="10">
        <f t="shared" si="180"/>
        <v>1.5656601214192276</v>
      </c>
      <c r="BV85" s="10">
        <f t="shared" si="180"/>
        <v>1.5656601214192276</v>
      </c>
      <c r="BW85" s="10">
        <f t="shared" si="180"/>
        <v>1.5656601214192276</v>
      </c>
      <c r="BX85" s="10">
        <f t="shared" si="180"/>
        <v>1.5656601214192276</v>
      </c>
      <c r="BY85" s="10">
        <f t="shared" si="180"/>
        <v>1.5656601214192276</v>
      </c>
      <c r="BZ85" s="10">
        <f t="shared" si="180"/>
        <v>1.5656601214192276</v>
      </c>
      <c r="CA85" s="10">
        <f t="shared" si="180"/>
        <v>1.5656601214192276</v>
      </c>
      <c r="CB85" s="10">
        <f t="shared" si="180"/>
        <v>1.5656601214192276</v>
      </c>
      <c r="CC85" s="10">
        <f t="shared" si="180"/>
        <v>1.5656601214192276</v>
      </c>
      <c r="CD85" s="10">
        <f t="shared" si="180"/>
        <v>1.5656601214192276</v>
      </c>
      <c r="CE85" s="10">
        <f t="shared" si="180"/>
        <v>1.5656601214192276</v>
      </c>
      <c r="CF85" s="10">
        <f t="shared" si="180"/>
        <v>1.5656601214192276</v>
      </c>
      <c r="CG85" s="10">
        <f t="shared" si="180"/>
        <v>1.5656601214192276</v>
      </c>
    </row>
    <row r="86" spans="2:86" ht="16.5" customHeight="1">
      <c r="B86" s="10" t="s">
        <v>841</v>
      </c>
      <c r="C86" s="10">
        <f t="shared" ref="C86:AH86" si="181">2*C$10*(C$5+C$11*C$6)/(SQRT(2)*C$8*SIN(C38))</f>
        <v>3.0246230929394207</v>
      </c>
      <c r="D86" s="10">
        <f t="shared" si="181"/>
        <v>3.0246230929394207</v>
      </c>
      <c r="E86" s="10">
        <f t="shared" si="181"/>
        <v>3.0246230929394207</v>
      </c>
      <c r="F86" s="10">
        <f t="shared" si="181"/>
        <v>3.0246230929394207</v>
      </c>
      <c r="G86" s="10">
        <f t="shared" si="181"/>
        <v>3.0246230929394207</v>
      </c>
      <c r="H86" s="10">
        <f t="shared" si="181"/>
        <v>3.0246230929394207</v>
      </c>
      <c r="I86" s="10">
        <f t="shared" si="181"/>
        <v>3.0246230929394207</v>
      </c>
      <c r="J86" s="10">
        <f t="shared" si="181"/>
        <v>3.0246230929394207</v>
      </c>
      <c r="K86" s="10">
        <f t="shared" si="181"/>
        <v>3.0246230929394207</v>
      </c>
      <c r="L86" s="10">
        <f t="shared" si="181"/>
        <v>3.0246230929394207</v>
      </c>
      <c r="M86" s="10">
        <f t="shared" si="181"/>
        <v>3.0246230929394207</v>
      </c>
      <c r="N86" s="10">
        <f t="shared" si="181"/>
        <v>3.0246230929394207</v>
      </c>
      <c r="O86" s="10">
        <f t="shared" si="181"/>
        <v>3.0246230929394207</v>
      </c>
      <c r="P86" s="10">
        <f t="shared" si="181"/>
        <v>3.0246230929394207</v>
      </c>
      <c r="Q86" s="10">
        <f t="shared" si="181"/>
        <v>3.0246230929394207</v>
      </c>
      <c r="R86" s="10">
        <f t="shared" si="181"/>
        <v>3.0246230929394207</v>
      </c>
      <c r="S86" s="10">
        <f t="shared" si="181"/>
        <v>3.0246230929394207</v>
      </c>
      <c r="T86" s="10">
        <f t="shared" si="181"/>
        <v>3.0246230929394207</v>
      </c>
      <c r="U86" s="10">
        <f t="shared" si="181"/>
        <v>3.0246230929394207</v>
      </c>
      <c r="V86" s="10">
        <f t="shared" si="181"/>
        <v>3.0246230929394207</v>
      </c>
      <c r="W86" s="10">
        <f t="shared" si="181"/>
        <v>3.0246230929394207</v>
      </c>
      <c r="X86" s="10">
        <f t="shared" si="181"/>
        <v>3.0246230929394207</v>
      </c>
      <c r="Y86" s="10">
        <f t="shared" si="181"/>
        <v>3.0246230929394207</v>
      </c>
      <c r="Z86" s="10">
        <f t="shared" si="181"/>
        <v>3.0246230929394207</v>
      </c>
      <c r="AA86" s="10">
        <f t="shared" si="181"/>
        <v>3.0246230929394207</v>
      </c>
      <c r="AB86" s="10">
        <f t="shared" si="181"/>
        <v>3.0246230929394207</v>
      </c>
      <c r="AC86" s="10">
        <f t="shared" si="181"/>
        <v>3.0246230929394207</v>
      </c>
      <c r="AD86" s="10">
        <f t="shared" si="181"/>
        <v>3.0246230929394207</v>
      </c>
      <c r="AE86" s="10">
        <f t="shared" si="181"/>
        <v>3.0246230929394207</v>
      </c>
      <c r="AF86" s="10">
        <f t="shared" si="181"/>
        <v>3.0246230929394207</v>
      </c>
      <c r="AG86" s="10">
        <f t="shared" si="181"/>
        <v>3.0246230929394207</v>
      </c>
      <c r="AH86" s="10">
        <f t="shared" si="181"/>
        <v>3.0246230929394207</v>
      </c>
      <c r="AI86" s="10">
        <f t="shared" ref="AI86:BN86" si="182">2*AI$10*(AI$5+AI$11*AI$6)/(SQRT(2)*AI$8*SIN(AI38))</f>
        <v>3.0246230929394207</v>
      </c>
      <c r="AJ86" s="10">
        <f t="shared" si="182"/>
        <v>3.0246230929394207</v>
      </c>
      <c r="AK86" s="10">
        <f t="shared" si="182"/>
        <v>3.0246230929394207</v>
      </c>
      <c r="AL86" s="10">
        <f t="shared" si="182"/>
        <v>3.0246230929394207</v>
      </c>
      <c r="AM86" s="10">
        <f t="shared" si="182"/>
        <v>3.0246230929394207</v>
      </c>
      <c r="AN86" s="10">
        <f t="shared" si="182"/>
        <v>3.0246230929394207</v>
      </c>
      <c r="AO86" s="10">
        <f t="shared" si="182"/>
        <v>3.0246230929394207</v>
      </c>
      <c r="AP86" s="10">
        <f t="shared" si="182"/>
        <v>3.0246230929394207</v>
      </c>
      <c r="AQ86" s="10">
        <f t="shared" si="182"/>
        <v>3.0246230929394207</v>
      </c>
      <c r="AR86" s="10">
        <f t="shared" si="182"/>
        <v>3.0246230929394207</v>
      </c>
      <c r="AS86" s="10">
        <f t="shared" si="182"/>
        <v>3.0246230929394207</v>
      </c>
      <c r="AT86" s="10">
        <f t="shared" si="182"/>
        <v>3.0246230929394207</v>
      </c>
      <c r="AU86" s="10">
        <f t="shared" si="182"/>
        <v>3.0246230929394207</v>
      </c>
      <c r="AV86" s="10">
        <f t="shared" si="182"/>
        <v>3.0246230929394207</v>
      </c>
      <c r="AW86" s="10">
        <f t="shared" si="182"/>
        <v>3.0246230929394207</v>
      </c>
      <c r="AX86" s="10">
        <f t="shared" si="182"/>
        <v>3.0246230929394207</v>
      </c>
      <c r="AY86" s="10">
        <f t="shared" si="182"/>
        <v>3.0246230929394207</v>
      </c>
      <c r="AZ86" s="10">
        <f t="shared" si="182"/>
        <v>3.0246230929394207</v>
      </c>
      <c r="BA86" s="10">
        <f t="shared" si="182"/>
        <v>3.0246230929394207</v>
      </c>
      <c r="BB86" s="10">
        <f t="shared" si="182"/>
        <v>3.0246230929394207</v>
      </c>
      <c r="BC86" s="10">
        <f t="shared" si="182"/>
        <v>3.0246230929394207</v>
      </c>
      <c r="BD86" s="10">
        <f t="shared" si="182"/>
        <v>3.0246230929394207</v>
      </c>
      <c r="BE86" s="10">
        <f t="shared" si="182"/>
        <v>3.0246230929394207</v>
      </c>
      <c r="BF86" s="10">
        <f t="shared" si="182"/>
        <v>3.0246230929394207</v>
      </c>
      <c r="BG86" s="10">
        <f t="shared" si="182"/>
        <v>3.0246230929394207</v>
      </c>
      <c r="BH86" s="10">
        <f t="shared" si="182"/>
        <v>3.0246230929394207</v>
      </c>
      <c r="BI86" s="10">
        <f t="shared" si="182"/>
        <v>3.0246230929394207</v>
      </c>
      <c r="BJ86" s="10">
        <f t="shared" si="182"/>
        <v>3.0246230929394207</v>
      </c>
      <c r="BK86" s="10">
        <f t="shared" si="182"/>
        <v>3.0246230929394207</v>
      </c>
      <c r="BL86" s="10">
        <f t="shared" si="182"/>
        <v>3.0246230929394207</v>
      </c>
      <c r="BM86" s="10">
        <f t="shared" si="182"/>
        <v>3.0246230929394207</v>
      </c>
      <c r="BN86" s="10">
        <f t="shared" si="182"/>
        <v>3.0246230929394207</v>
      </c>
      <c r="BO86" s="10">
        <f t="shared" ref="BO86:CG86" si="183">2*BO$10*(BO$5+BO$11*BO$6)/(SQRT(2)*BO$8*SIN(BO38))</f>
        <v>3.0246230929394207</v>
      </c>
      <c r="BP86" s="10">
        <f t="shared" si="183"/>
        <v>3.0246230929394207</v>
      </c>
      <c r="BQ86" s="10">
        <f t="shared" si="183"/>
        <v>3.0246230929394207</v>
      </c>
      <c r="BR86" s="10">
        <f t="shared" si="183"/>
        <v>3.0246230929394207</v>
      </c>
      <c r="BS86" s="10">
        <f t="shared" si="183"/>
        <v>3.0246230929394207</v>
      </c>
      <c r="BT86" s="10">
        <f t="shared" si="183"/>
        <v>3.0246230929394207</v>
      </c>
      <c r="BU86" s="10">
        <f t="shared" si="183"/>
        <v>3.0246230929394207</v>
      </c>
      <c r="BV86" s="10">
        <f t="shared" si="183"/>
        <v>3.0246230929394207</v>
      </c>
      <c r="BW86" s="10">
        <f t="shared" si="183"/>
        <v>3.0246230929394207</v>
      </c>
      <c r="BX86" s="10">
        <f t="shared" si="183"/>
        <v>3.0246230929394207</v>
      </c>
      <c r="BY86" s="10">
        <f t="shared" si="183"/>
        <v>3.0246230929394207</v>
      </c>
      <c r="BZ86" s="10">
        <f t="shared" si="183"/>
        <v>3.0246230929394207</v>
      </c>
      <c r="CA86" s="10">
        <f t="shared" si="183"/>
        <v>3.0246230929394207</v>
      </c>
      <c r="CB86" s="10">
        <f t="shared" si="183"/>
        <v>3.0246230929394207</v>
      </c>
      <c r="CC86" s="10">
        <f t="shared" si="183"/>
        <v>3.0246230929394207</v>
      </c>
      <c r="CD86" s="10">
        <f t="shared" si="183"/>
        <v>3.0246230929394207</v>
      </c>
      <c r="CE86" s="10">
        <f t="shared" si="183"/>
        <v>3.0246230929394207</v>
      </c>
      <c r="CF86" s="10">
        <f t="shared" si="183"/>
        <v>3.0246230929394207</v>
      </c>
      <c r="CG86" s="10">
        <f t="shared" si="183"/>
        <v>3.0246230929394207</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0</v>
      </c>
      <c r="BV88" s="10">
        <f t="shared" si="186"/>
        <v>0</v>
      </c>
      <c r="BW88" s="10">
        <f t="shared" si="186"/>
        <v>1.3703179195655151</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1.3703179195655151</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0</v>
      </c>
      <c r="BV89" s="10">
        <f t="shared" si="189"/>
        <v>1.3203283045066183</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1.3203283045066183</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v>
      </c>
      <c r="BQ90" s="10">
        <f t="shared" si="192"/>
        <v>0</v>
      </c>
      <c r="BR90" s="10">
        <f t="shared" si="192"/>
        <v>0</v>
      </c>
      <c r="BS90" s="10">
        <f t="shared" si="192"/>
        <v>0</v>
      </c>
      <c r="BT90" s="10">
        <f t="shared" si="192"/>
        <v>0</v>
      </c>
      <c r="BU90" s="10">
        <f t="shared" si="192"/>
        <v>1.1434244938756755</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1.1434244938756755</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v>
      </c>
      <c r="BI91" s="10">
        <f t="shared" si="194"/>
        <v>0</v>
      </c>
      <c r="BJ91" s="10">
        <f t="shared" si="194"/>
        <v>0</v>
      </c>
      <c r="BK91" s="10">
        <f t="shared" si="194"/>
        <v>0</v>
      </c>
      <c r="BL91" s="10">
        <f t="shared" si="194"/>
        <v>0</v>
      </c>
      <c r="BM91" s="10">
        <f t="shared" si="194"/>
        <v>0</v>
      </c>
      <c r="BN91" s="10">
        <f t="shared" si="194"/>
        <v>0.90566929626143533</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0.90566929626143533</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v>
      </c>
      <c r="BC92" s="10">
        <f t="shared" si="197"/>
        <v>0.74183745753961672</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0.74183745753961672</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0.63418212182269773</v>
      </c>
      <c r="AV93" s="10">
        <f t="shared" si="200"/>
        <v>0</v>
      </c>
      <c r="AW93" s="10">
        <f t="shared" si="200"/>
        <v>0</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0.63418212182269773</v>
      </c>
    </row>
    <row r="95" spans="2:86" ht="16.5" customHeight="1">
      <c r="B95" s="162" t="s">
        <v>848</v>
      </c>
      <c r="C95" s="162">
        <f t="shared" ref="C95:AH95" si="202">(C$40/(C$10^2))*((PI()^2)/4)*(C12*100/C$39)*(((SIN(C$33))^2)/(C$5+C$11*C$6)^2)</f>
        <v>0.6363457397960991</v>
      </c>
      <c r="D95" s="162">
        <f t="shared" si="202"/>
        <v>0.6363457397960991</v>
      </c>
      <c r="E95" s="162">
        <f t="shared" si="202"/>
        <v>0.6363457397960991</v>
      </c>
      <c r="F95" s="162">
        <f t="shared" si="202"/>
        <v>0.6363457397960991</v>
      </c>
      <c r="G95" s="162">
        <f t="shared" si="202"/>
        <v>0.6363457397960991</v>
      </c>
      <c r="H95" s="162">
        <f t="shared" si="202"/>
        <v>0.6363457397960991</v>
      </c>
      <c r="I95" s="162">
        <f t="shared" si="202"/>
        <v>0.6363457397960991</v>
      </c>
      <c r="J95" s="162">
        <f t="shared" si="202"/>
        <v>0.6363457397960991</v>
      </c>
      <c r="K95" s="162">
        <f t="shared" si="202"/>
        <v>0.6363457397960991</v>
      </c>
      <c r="L95" s="162">
        <f t="shared" si="202"/>
        <v>0.6363457397960991</v>
      </c>
      <c r="M95" s="162">
        <f t="shared" si="202"/>
        <v>0.6363457397960991</v>
      </c>
      <c r="N95" s="162">
        <f t="shared" si="202"/>
        <v>0.6363457397960991</v>
      </c>
      <c r="O95" s="162">
        <f t="shared" si="202"/>
        <v>0.6363457397960991</v>
      </c>
      <c r="P95" s="162">
        <f t="shared" si="202"/>
        <v>0.6363457397960991</v>
      </c>
      <c r="Q95" s="162">
        <f t="shared" si="202"/>
        <v>0.6363457397960991</v>
      </c>
      <c r="R95" s="162">
        <f t="shared" si="202"/>
        <v>0.6363457397960991</v>
      </c>
      <c r="S95" s="162">
        <f t="shared" si="202"/>
        <v>0.6363457397960991</v>
      </c>
      <c r="T95" s="162">
        <f t="shared" si="202"/>
        <v>0.6363457397960991</v>
      </c>
      <c r="U95" s="162">
        <f t="shared" si="202"/>
        <v>0.6363457397960991</v>
      </c>
      <c r="V95" s="162">
        <f t="shared" si="202"/>
        <v>0.6363457397960991</v>
      </c>
      <c r="W95" s="162">
        <f t="shared" si="202"/>
        <v>0.6363457397960991</v>
      </c>
      <c r="X95" s="162">
        <f t="shared" si="202"/>
        <v>0.6363457397960991</v>
      </c>
      <c r="Y95" s="162">
        <f t="shared" si="202"/>
        <v>0.6363457397960991</v>
      </c>
      <c r="Z95" s="162">
        <f t="shared" si="202"/>
        <v>0.6363457397960991</v>
      </c>
      <c r="AA95" s="162">
        <f t="shared" si="202"/>
        <v>0.6363457397960991</v>
      </c>
      <c r="AB95" s="162">
        <f t="shared" si="202"/>
        <v>0.6363457397960991</v>
      </c>
      <c r="AC95" s="162">
        <f t="shared" si="202"/>
        <v>0.6363457397960991</v>
      </c>
      <c r="AD95" s="162">
        <f t="shared" si="202"/>
        <v>0.6363457397960991</v>
      </c>
      <c r="AE95" s="162">
        <f t="shared" si="202"/>
        <v>0.6363457397960991</v>
      </c>
      <c r="AF95" s="162">
        <f t="shared" si="202"/>
        <v>0.6363457397960991</v>
      </c>
      <c r="AG95" s="162">
        <f t="shared" si="202"/>
        <v>0.6363457397960991</v>
      </c>
      <c r="AH95" s="162">
        <f t="shared" si="202"/>
        <v>0.6363457397960991</v>
      </c>
      <c r="AI95" s="162">
        <f t="shared" ref="AI95:BN95" si="203">(AI$40/(AI$10^2))*((PI()^2)/4)*(AI12*100/AI$39)*(((SIN(AI$33))^2)/(AI$5+AI$11*AI$6)^2)</f>
        <v>0.6363457397960991</v>
      </c>
      <c r="AJ95" s="162">
        <f t="shared" si="203"/>
        <v>0.6363457397960991</v>
      </c>
      <c r="AK95" s="162">
        <f t="shared" si="203"/>
        <v>0.6363457397960991</v>
      </c>
      <c r="AL95" s="162">
        <f t="shared" si="203"/>
        <v>0.6363457397960991</v>
      </c>
      <c r="AM95" s="162">
        <f t="shared" si="203"/>
        <v>0.6363457397960991</v>
      </c>
      <c r="AN95" s="162">
        <f t="shared" si="203"/>
        <v>0.6363457397960991</v>
      </c>
      <c r="AO95" s="162">
        <f t="shared" si="203"/>
        <v>0.6363457397960991</v>
      </c>
      <c r="AP95" s="162">
        <f t="shared" si="203"/>
        <v>0.6363457397960991</v>
      </c>
      <c r="AQ95" s="162">
        <f t="shared" si="203"/>
        <v>0.6363457397960991</v>
      </c>
      <c r="AR95" s="162">
        <f t="shared" si="203"/>
        <v>0.6363457397960991</v>
      </c>
      <c r="AS95" s="162">
        <f t="shared" si="203"/>
        <v>0.6363457397960991</v>
      </c>
      <c r="AT95" s="162">
        <f t="shared" si="203"/>
        <v>0.6363457397960991</v>
      </c>
      <c r="AU95" s="162">
        <f t="shared" si="203"/>
        <v>0.6363457397960991</v>
      </c>
      <c r="AV95" s="162">
        <f t="shared" si="203"/>
        <v>0.6363457397960991</v>
      </c>
      <c r="AW95" s="162">
        <f t="shared" si="203"/>
        <v>0.6363457397960991</v>
      </c>
      <c r="AX95" s="162">
        <f t="shared" si="203"/>
        <v>0.6363457397960991</v>
      </c>
      <c r="AY95" s="162">
        <f t="shared" si="203"/>
        <v>0.6363457397960991</v>
      </c>
      <c r="AZ95" s="162">
        <f t="shared" si="203"/>
        <v>0.6363457397960991</v>
      </c>
      <c r="BA95" s="162">
        <f t="shared" si="203"/>
        <v>0.6363457397960991</v>
      </c>
      <c r="BB95" s="162">
        <f t="shared" si="203"/>
        <v>0.6363457397960991</v>
      </c>
      <c r="BC95" s="162">
        <f t="shared" si="203"/>
        <v>0.6363457397960991</v>
      </c>
      <c r="BD95" s="162">
        <f t="shared" si="203"/>
        <v>0.6363457397960991</v>
      </c>
      <c r="BE95" s="162">
        <f t="shared" si="203"/>
        <v>0.6363457397960991</v>
      </c>
      <c r="BF95" s="162">
        <f t="shared" si="203"/>
        <v>0.6363457397960991</v>
      </c>
      <c r="BG95" s="162">
        <f t="shared" si="203"/>
        <v>0.6363457397960991</v>
      </c>
      <c r="BH95" s="162">
        <f t="shared" si="203"/>
        <v>0.6363457397960991</v>
      </c>
      <c r="BI95" s="162">
        <f t="shared" si="203"/>
        <v>0.6363457397960991</v>
      </c>
      <c r="BJ95" s="162">
        <f t="shared" si="203"/>
        <v>0.6363457397960991</v>
      </c>
      <c r="BK95" s="162">
        <f t="shared" si="203"/>
        <v>0.6363457397960991</v>
      </c>
      <c r="BL95" s="162">
        <f t="shared" si="203"/>
        <v>0.6363457397960991</v>
      </c>
      <c r="BM95" s="162">
        <f t="shared" si="203"/>
        <v>0.6363457397960991</v>
      </c>
      <c r="BN95" s="162">
        <f t="shared" si="203"/>
        <v>0.6363457397960991</v>
      </c>
      <c r="BO95" s="162">
        <f t="shared" ref="BO95:CG95" si="204">(BO$40/(BO$10^2))*((PI()^2)/4)*(BO12*100/BO$39)*(((SIN(BO$33))^2)/(BO$5+BO$11*BO$6)^2)</f>
        <v>0.6363457397960991</v>
      </c>
      <c r="BP95" s="162">
        <f t="shared" si="204"/>
        <v>0.6363457397960991</v>
      </c>
      <c r="BQ95" s="162">
        <f t="shared" si="204"/>
        <v>0.6363457397960991</v>
      </c>
      <c r="BR95" s="162">
        <f t="shared" si="204"/>
        <v>0.6363457397960991</v>
      </c>
      <c r="BS95" s="162">
        <f t="shared" si="204"/>
        <v>0.6363457397960991</v>
      </c>
      <c r="BT95" s="162">
        <f t="shared" si="204"/>
        <v>0.6363457397960991</v>
      </c>
      <c r="BU95" s="162">
        <f t="shared" si="204"/>
        <v>0.6363457397960991</v>
      </c>
      <c r="BV95" s="162">
        <f t="shared" si="204"/>
        <v>0.6363457397960991</v>
      </c>
      <c r="BW95" s="162">
        <f t="shared" si="204"/>
        <v>0.6363457397960991</v>
      </c>
      <c r="BX95" s="162">
        <f t="shared" si="204"/>
        <v>0.6363457397960991</v>
      </c>
      <c r="BY95" s="162">
        <f t="shared" si="204"/>
        <v>0.6363457397960991</v>
      </c>
      <c r="BZ95" s="162">
        <f t="shared" si="204"/>
        <v>0.6363457397960991</v>
      </c>
      <c r="CA95" s="162">
        <f t="shared" si="204"/>
        <v>0.6363457397960991</v>
      </c>
      <c r="CB95" s="162">
        <f t="shared" si="204"/>
        <v>0.6363457397960991</v>
      </c>
      <c r="CC95" s="162">
        <f t="shared" si="204"/>
        <v>0.6363457397960991</v>
      </c>
      <c r="CD95" s="162">
        <f t="shared" si="204"/>
        <v>0.6363457397960991</v>
      </c>
      <c r="CE95" s="162">
        <f t="shared" si="204"/>
        <v>0.6363457397960991</v>
      </c>
      <c r="CF95" s="162">
        <f t="shared" si="204"/>
        <v>0.6363457397960991</v>
      </c>
      <c r="CG95" s="162">
        <f t="shared" si="204"/>
        <v>0.6363457397960991</v>
      </c>
    </row>
    <row r="96" spans="2:86" ht="16.5" customHeight="1">
      <c r="B96" s="162" t="s">
        <v>849</v>
      </c>
      <c r="C96" s="162">
        <f t="shared" ref="C96:AH96" si="205">(C$40/(C$10^2))*((PI()^2)/4)*(C13*100/C$39)*(((SIN(C$33))^2)/(C$5+C$11*C$6)^2)</f>
        <v>0.47725930484707424</v>
      </c>
      <c r="D96" s="162">
        <f t="shared" si="205"/>
        <v>0.47725930484707424</v>
      </c>
      <c r="E96" s="162">
        <f t="shared" si="205"/>
        <v>0.47725930484707424</v>
      </c>
      <c r="F96" s="162">
        <f t="shared" si="205"/>
        <v>0.47725930484707424</v>
      </c>
      <c r="G96" s="162">
        <f t="shared" si="205"/>
        <v>0.47725930484707424</v>
      </c>
      <c r="H96" s="162">
        <f t="shared" si="205"/>
        <v>0.47725930484707424</v>
      </c>
      <c r="I96" s="162">
        <f t="shared" si="205"/>
        <v>0.47725930484707424</v>
      </c>
      <c r="J96" s="162">
        <f t="shared" si="205"/>
        <v>0.47725930484707424</v>
      </c>
      <c r="K96" s="162">
        <f t="shared" si="205"/>
        <v>0.47725930484707424</v>
      </c>
      <c r="L96" s="162">
        <f t="shared" si="205"/>
        <v>0.47725930484707424</v>
      </c>
      <c r="M96" s="162">
        <f t="shared" si="205"/>
        <v>0.47725930484707424</v>
      </c>
      <c r="N96" s="162">
        <f t="shared" si="205"/>
        <v>0.47725930484707424</v>
      </c>
      <c r="O96" s="162">
        <f t="shared" si="205"/>
        <v>0.47725930484707424</v>
      </c>
      <c r="P96" s="162">
        <f t="shared" si="205"/>
        <v>0.47725930484707424</v>
      </c>
      <c r="Q96" s="162">
        <f t="shared" si="205"/>
        <v>0.47725930484707424</v>
      </c>
      <c r="R96" s="162">
        <f t="shared" si="205"/>
        <v>0.47725930484707424</v>
      </c>
      <c r="S96" s="162">
        <f t="shared" si="205"/>
        <v>0.47725930484707424</v>
      </c>
      <c r="T96" s="162">
        <f t="shared" si="205"/>
        <v>0.47725930484707424</v>
      </c>
      <c r="U96" s="162">
        <f t="shared" si="205"/>
        <v>0.47725930484707424</v>
      </c>
      <c r="V96" s="162">
        <f t="shared" si="205"/>
        <v>0.47725930484707424</v>
      </c>
      <c r="W96" s="162">
        <f t="shared" si="205"/>
        <v>0.47725930484707424</v>
      </c>
      <c r="X96" s="162">
        <f t="shared" si="205"/>
        <v>0.47725930484707424</v>
      </c>
      <c r="Y96" s="162">
        <f t="shared" si="205"/>
        <v>0.47725930484707424</v>
      </c>
      <c r="Z96" s="162">
        <f t="shared" si="205"/>
        <v>0.47725930484707424</v>
      </c>
      <c r="AA96" s="162">
        <f t="shared" si="205"/>
        <v>0.47725930484707424</v>
      </c>
      <c r="AB96" s="162">
        <f t="shared" si="205"/>
        <v>0.47725930484707424</v>
      </c>
      <c r="AC96" s="162">
        <f t="shared" si="205"/>
        <v>0.47725930484707424</v>
      </c>
      <c r="AD96" s="162">
        <f t="shared" si="205"/>
        <v>0.47725930484707424</v>
      </c>
      <c r="AE96" s="162">
        <f t="shared" si="205"/>
        <v>0.47725930484707424</v>
      </c>
      <c r="AF96" s="162">
        <f t="shared" si="205"/>
        <v>0.47725930484707424</v>
      </c>
      <c r="AG96" s="162">
        <f t="shared" si="205"/>
        <v>0.47725930484707424</v>
      </c>
      <c r="AH96" s="162">
        <f t="shared" si="205"/>
        <v>0.47725930484707424</v>
      </c>
      <c r="AI96" s="162">
        <f t="shared" ref="AI96:BN96" si="206">(AI$40/(AI$10^2))*((PI()^2)/4)*(AI13*100/AI$39)*(((SIN(AI$33))^2)/(AI$5+AI$11*AI$6)^2)</f>
        <v>0.47725930484707424</v>
      </c>
      <c r="AJ96" s="162">
        <f t="shared" si="206"/>
        <v>0.47725930484707424</v>
      </c>
      <c r="AK96" s="162">
        <f t="shared" si="206"/>
        <v>0.47725930484707424</v>
      </c>
      <c r="AL96" s="162">
        <f t="shared" si="206"/>
        <v>0.47725930484707424</v>
      </c>
      <c r="AM96" s="162">
        <f t="shared" si="206"/>
        <v>0.47725930484707424</v>
      </c>
      <c r="AN96" s="162">
        <f t="shared" si="206"/>
        <v>0.47725930484707424</v>
      </c>
      <c r="AO96" s="162">
        <f t="shared" si="206"/>
        <v>0.47725930484707424</v>
      </c>
      <c r="AP96" s="162">
        <f t="shared" si="206"/>
        <v>0.47725930484707424</v>
      </c>
      <c r="AQ96" s="162">
        <f t="shared" si="206"/>
        <v>0.47725930484707424</v>
      </c>
      <c r="AR96" s="162">
        <f t="shared" si="206"/>
        <v>0.47725930484707424</v>
      </c>
      <c r="AS96" s="162">
        <f t="shared" si="206"/>
        <v>0.47725930484707424</v>
      </c>
      <c r="AT96" s="162">
        <f t="shared" si="206"/>
        <v>0.47725930484707424</v>
      </c>
      <c r="AU96" s="162">
        <f t="shared" si="206"/>
        <v>0.47725930484707424</v>
      </c>
      <c r="AV96" s="162">
        <f t="shared" si="206"/>
        <v>0.47725930484707424</v>
      </c>
      <c r="AW96" s="162">
        <f t="shared" si="206"/>
        <v>0.47725930484707424</v>
      </c>
      <c r="AX96" s="162">
        <f t="shared" si="206"/>
        <v>0.47725930484707424</v>
      </c>
      <c r="AY96" s="162">
        <f t="shared" si="206"/>
        <v>0.47725930484707424</v>
      </c>
      <c r="AZ96" s="162">
        <f t="shared" si="206"/>
        <v>0.47725930484707424</v>
      </c>
      <c r="BA96" s="162">
        <f t="shared" si="206"/>
        <v>0.47725930484707424</v>
      </c>
      <c r="BB96" s="162">
        <f t="shared" si="206"/>
        <v>0.47725930484707424</v>
      </c>
      <c r="BC96" s="162">
        <f t="shared" si="206"/>
        <v>0.47725930484707424</v>
      </c>
      <c r="BD96" s="162">
        <f t="shared" si="206"/>
        <v>0.47725930484707424</v>
      </c>
      <c r="BE96" s="162">
        <f t="shared" si="206"/>
        <v>0.47725930484707424</v>
      </c>
      <c r="BF96" s="162">
        <f t="shared" si="206"/>
        <v>0.47725930484707424</v>
      </c>
      <c r="BG96" s="162">
        <f t="shared" si="206"/>
        <v>0.47725930484707424</v>
      </c>
      <c r="BH96" s="162">
        <f t="shared" si="206"/>
        <v>0.47725930484707424</v>
      </c>
      <c r="BI96" s="162">
        <f t="shared" si="206"/>
        <v>0.47725930484707424</v>
      </c>
      <c r="BJ96" s="162">
        <f t="shared" si="206"/>
        <v>0.47725930484707424</v>
      </c>
      <c r="BK96" s="162">
        <f t="shared" si="206"/>
        <v>0.47725930484707424</v>
      </c>
      <c r="BL96" s="162">
        <f t="shared" si="206"/>
        <v>0.47725930484707424</v>
      </c>
      <c r="BM96" s="162">
        <f t="shared" si="206"/>
        <v>0.47725930484707424</v>
      </c>
      <c r="BN96" s="162">
        <f t="shared" si="206"/>
        <v>0.47725930484707424</v>
      </c>
      <c r="BO96" s="162">
        <f t="shared" ref="BO96:CG96" si="207">(BO$40/(BO$10^2))*((PI()^2)/4)*(BO13*100/BO$39)*(((SIN(BO$33))^2)/(BO$5+BO$11*BO$6)^2)</f>
        <v>0.47725930484707424</v>
      </c>
      <c r="BP96" s="162">
        <f t="shared" si="207"/>
        <v>0.47725930484707424</v>
      </c>
      <c r="BQ96" s="162">
        <f t="shared" si="207"/>
        <v>0.47725930484707424</v>
      </c>
      <c r="BR96" s="162">
        <f t="shared" si="207"/>
        <v>0.47725930484707424</v>
      </c>
      <c r="BS96" s="162">
        <f t="shared" si="207"/>
        <v>0.47725930484707424</v>
      </c>
      <c r="BT96" s="162">
        <f t="shared" si="207"/>
        <v>0.47725930484707424</v>
      </c>
      <c r="BU96" s="162">
        <f t="shared" si="207"/>
        <v>0.47725930484707424</v>
      </c>
      <c r="BV96" s="162">
        <f t="shared" si="207"/>
        <v>0.47725930484707424</v>
      </c>
      <c r="BW96" s="162">
        <f t="shared" si="207"/>
        <v>0.47725930484707424</v>
      </c>
      <c r="BX96" s="162">
        <f t="shared" si="207"/>
        <v>0.47725930484707424</v>
      </c>
      <c r="BY96" s="162">
        <f t="shared" si="207"/>
        <v>0.47725930484707424</v>
      </c>
      <c r="BZ96" s="162">
        <f t="shared" si="207"/>
        <v>0.47725930484707424</v>
      </c>
      <c r="CA96" s="162">
        <f t="shared" si="207"/>
        <v>0.47725930484707424</v>
      </c>
      <c r="CB96" s="162">
        <f t="shared" si="207"/>
        <v>0.47725930484707424</v>
      </c>
      <c r="CC96" s="162">
        <f t="shared" si="207"/>
        <v>0.47725930484707424</v>
      </c>
      <c r="CD96" s="162">
        <f t="shared" si="207"/>
        <v>0.47725930484707424</v>
      </c>
      <c r="CE96" s="162">
        <f t="shared" si="207"/>
        <v>0.47725930484707424</v>
      </c>
      <c r="CF96" s="162">
        <f t="shared" si="207"/>
        <v>0.47725930484707424</v>
      </c>
      <c r="CG96" s="162">
        <f t="shared" si="207"/>
        <v>0.47725930484707424</v>
      </c>
    </row>
    <row r="97" spans="1:86" ht="16.5" customHeight="1">
      <c r="B97" s="162" t="s">
        <v>850</v>
      </c>
      <c r="C97" s="162">
        <f t="shared" ref="C97:AH97" si="208">(C$40/(C$10^2))*((PI()^2)/4)*(C14*100/C$39)*(((SIN(C$33))^2)/(C$5+C$11*C$6)^2)</f>
        <v>0.31817286989804955</v>
      </c>
      <c r="D97" s="162">
        <f t="shared" si="208"/>
        <v>0.31817286989804955</v>
      </c>
      <c r="E97" s="162">
        <f t="shared" si="208"/>
        <v>0.31817286989804955</v>
      </c>
      <c r="F97" s="162">
        <f t="shared" si="208"/>
        <v>0.31817286989804955</v>
      </c>
      <c r="G97" s="162">
        <f t="shared" si="208"/>
        <v>0.31817286989804955</v>
      </c>
      <c r="H97" s="162">
        <f t="shared" si="208"/>
        <v>0.31817286989804955</v>
      </c>
      <c r="I97" s="162">
        <f t="shared" si="208"/>
        <v>0.31817286989804955</v>
      </c>
      <c r="J97" s="162">
        <f t="shared" si="208"/>
        <v>0.31817286989804955</v>
      </c>
      <c r="K97" s="162">
        <f t="shared" si="208"/>
        <v>0.31817286989804955</v>
      </c>
      <c r="L97" s="162">
        <f t="shared" si="208"/>
        <v>0.31817286989804955</v>
      </c>
      <c r="M97" s="162">
        <f t="shared" si="208"/>
        <v>0.31817286989804955</v>
      </c>
      <c r="N97" s="162">
        <f t="shared" si="208"/>
        <v>0.31817286989804955</v>
      </c>
      <c r="O97" s="162">
        <f t="shared" si="208"/>
        <v>0.31817286989804955</v>
      </c>
      <c r="P97" s="162">
        <f t="shared" si="208"/>
        <v>0.31817286989804955</v>
      </c>
      <c r="Q97" s="162">
        <f t="shared" si="208"/>
        <v>0.31817286989804955</v>
      </c>
      <c r="R97" s="162">
        <f t="shared" si="208"/>
        <v>0.31817286989804955</v>
      </c>
      <c r="S97" s="162">
        <f t="shared" si="208"/>
        <v>0.31817286989804955</v>
      </c>
      <c r="T97" s="162">
        <f t="shared" si="208"/>
        <v>0.31817286989804955</v>
      </c>
      <c r="U97" s="162">
        <f t="shared" si="208"/>
        <v>0.31817286989804955</v>
      </c>
      <c r="V97" s="162">
        <f t="shared" si="208"/>
        <v>0.31817286989804955</v>
      </c>
      <c r="W97" s="162">
        <f t="shared" si="208"/>
        <v>0.31817286989804955</v>
      </c>
      <c r="X97" s="162">
        <f t="shared" si="208"/>
        <v>0.31817286989804955</v>
      </c>
      <c r="Y97" s="162">
        <f t="shared" si="208"/>
        <v>0.31817286989804955</v>
      </c>
      <c r="Z97" s="162">
        <f t="shared" si="208"/>
        <v>0.31817286989804955</v>
      </c>
      <c r="AA97" s="162">
        <f t="shared" si="208"/>
        <v>0.31817286989804955</v>
      </c>
      <c r="AB97" s="162">
        <f t="shared" si="208"/>
        <v>0.31817286989804955</v>
      </c>
      <c r="AC97" s="162">
        <f t="shared" si="208"/>
        <v>0.31817286989804955</v>
      </c>
      <c r="AD97" s="162">
        <f t="shared" si="208"/>
        <v>0.31817286989804955</v>
      </c>
      <c r="AE97" s="162">
        <f t="shared" si="208"/>
        <v>0.31817286989804955</v>
      </c>
      <c r="AF97" s="162">
        <f t="shared" si="208"/>
        <v>0.31817286989804955</v>
      </c>
      <c r="AG97" s="162">
        <f t="shared" si="208"/>
        <v>0.31817286989804955</v>
      </c>
      <c r="AH97" s="162">
        <f t="shared" si="208"/>
        <v>0.31817286989804955</v>
      </c>
      <c r="AI97" s="162">
        <f t="shared" ref="AI97:BN97" si="209">(AI$40/(AI$10^2))*((PI()^2)/4)*(AI14*100/AI$39)*(((SIN(AI$33))^2)/(AI$5+AI$11*AI$6)^2)</f>
        <v>0.31817286989804955</v>
      </c>
      <c r="AJ97" s="162">
        <f t="shared" si="209"/>
        <v>0.31817286989804955</v>
      </c>
      <c r="AK97" s="162">
        <f t="shared" si="209"/>
        <v>0.31817286989804955</v>
      </c>
      <c r="AL97" s="162">
        <f t="shared" si="209"/>
        <v>0.31817286989804955</v>
      </c>
      <c r="AM97" s="162">
        <f t="shared" si="209"/>
        <v>0.31817286989804955</v>
      </c>
      <c r="AN97" s="162">
        <f t="shared" si="209"/>
        <v>0.31817286989804955</v>
      </c>
      <c r="AO97" s="162">
        <f t="shared" si="209"/>
        <v>0.31817286989804955</v>
      </c>
      <c r="AP97" s="162">
        <f t="shared" si="209"/>
        <v>0.31817286989804955</v>
      </c>
      <c r="AQ97" s="162">
        <f t="shared" si="209"/>
        <v>0.31817286989804955</v>
      </c>
      <c r="AR97" s="162">
        <f t="shared" si="209"/>
        <v>0.31817286989804955</v>
      </c>
      <c r="AS97" s="162">
        <f t="shared" si="209"/>
        <v>0.31817286989804955</v>
      </c>
      <c r="AT97" s="162">
        <f t="shared" si="209"/>
        <v>0.31817286989804955</v>
      </c>
      <c r="AU97" s="162">
        <f t="shared" si="209"/>
        <v>0.31817286989804955</v>
      </c>
      <c r="AV97" s="162">
        <f t="shared" si="209"/>
        <v>0.31817286989804955</v>
      </c>
      <c r="AW97" s="162">
        <f t="shared" si="209"/>
        <v>0.31817286989804955</v>
      </c>
      <c r="AX97" s="162">
        <f t="shared" si="209"/>
        <v>0.31817286989804955</v>
      </c>
      <c r="AY97" s="162">
        <f t="shared" si="209"/>
        <v>0.31817286989804955</v>
      </c>
      <c r="AZ97" s="162">
        <f t="shared" si="209"/>
        <v>0.31817286989804955</v>
      </c>
      <c r="BA97" s="162">
        <f t="shared" si="209"/>
        <v>0.31817286989804955</v>
      </c>
      <c r="BB97" s="162">
        <f t="shared" si="209"/>
        <v>0.31817286989804955</v>
      </c>
      <c r="BC97" s="162">
        <f t="shared" si="209"/>
        <v>0.31817286989804955</v>
      </c>
      <c r="BD97" s="162">
        <f t="shared" si="209"/>
        <v>0.31817286989804955</v>
      </c>
      <c r="BE97" s="162">
        <f t="shared" si="209"/>
        <v>0.31817286989804955</v>
      </c>
      <c r="BF97" s="162">
        <f t="shared" si="209"/>
        <v>0.31817286989804955</v>
      </c>
      <c r="BG97" s="162">
        <f t="shared" si="209"/>
        <v>0.31817286989804955</v>
      </c>
      <c r="BH97" s="162">
        <f t="shared" si="209"/>
        <v>0.31817286989804955</v>
      </c>
      <c r="BI97" s="162">
        <f t="shared" si="209"/>
        <v>0.31817286989804955</v>
      </c>
      <c r="BJ97" s="162">
        <f t="shared" si="209"/>
        <v>0.31817286989804955</v>
      </c>
      <c r="BK97" s="162">
        <f t="shared" si="209"/>
        <v>0.31817286989804955</v>
      </c>
      <c r="BL97" s="162">
        <f t="shared" si="209"/>
        <v>0.31817286989804955</v>
      </c>
      <c r="BM97" s="162">
        <f t="shared" si="209"/>
        <v>0.31817286989804955</v>
      </c>
      <c r="BN97" s="162">
        <f t="shared" si="209"/>
        <v>0.31817286989804955</v>
      </c>
      <c r="BO97" s="162">
        <f t="shared" ref="BO97:CG97" si="210">(BO$40/(BO$10^2))*((PI()^2)/4)*(BO14*100/BO$39)*(((SIN(BO$33))^2)/(BO$5+BO$11*BO$6)^2)</f>
        <v>0.31817286989804955</v>
      </c>
      <c r="BP97" s="162">
        <f t="shared" si="210"/>
        <v>0.31817286989804955</v>
      </c>
      <c r="BQ97" s="162">
        <f t="shared" si="210"/>
        <v>0.31817286989804955</v>
      </c>
      <c r="BR97" s="162">
        <f t="shared" si="210"/>
        <v>0.31817286989804955</v>
      </c>
      <c r="BS97" s="162">
        <f t="shared" si="210"/>
        <v>0.31817286989804955</v>
      </c>
      <c r="BT97" s="162">
        <f t="shared" si="210"/>
        <v>0.31817286989804955</v>
      </c>
      <c r="BU97" s="162">
        <f t="shared" si="210"/>
        <v>0.31817286989804955</v>
      </c>
      <c r="BV97" s="162">
        <f t="shared" si="210"/>
        <v>0.31817286989804955</v>
      </c>
      <c r="BW97" s="162">
        <f t="shared" si="210"/>
        <v>0.31817286989804955</v>
      </c>
      <c r="BX97" s="162">
        <f t="shared" si="210"/>
        <v>0.31817286989804955</v>
      </c>
      <c r="BY97" s="162">
        <f t="shared" si="210"/>
        <v>0.31817286989804955</v>
      </c>
      <c r="BZ97" s="162">
        <f t="shared" si="210"/>
        <v>0.31817286989804955</v>
      </c>
      <c r="CA97" s="162">
        <f t="shared" si="210"/>
        <v>0.31817286989804955</v>
      </c>
      <c r="CB97" s="162">
        <f t="shared" si="210"/>
        <v>0.31817286989804955</v>
      </c>
      <c r="CC97" s="162">
        <f t="shared" si="210"/>
        <v>0.31817286989804955</v>
      </c>
      <c r="CD97" s="162">
        <f t="shared" si="210"/>
        <v>0.31817286989804955</v>
      </c>
      <c r="CE97" s="162">
        <f t="shared" si="210"/>
        <v>0.31817286989804955</v>
      </c>
      <c r="CF97" s="162">
        <f t="shared" si="210"/>
        <v>0.31817286989804955</v>
      </c>
      <c r="CG97" s="162">
        <f t="shared" si="210"/>
        <v>0.31817286989804955</v>
      </c>
    </row>
    <row r="98" spans="1:86" ht="16.5" customHeight="1">
      <c r="B98" s="162" t="s">
        <v>851</v>
      </c>
      <c r="C98" s="162">
        <f t="shared" ref="C98:AH98" si="211">(C$40/(C$10^2))*((PI()^2)/4)*(C15*100/C$39)*(((SIN(C$33))^2)/(C$5+C$11*C$6)^2)</f>
        <v>0.15908643494902477</v>
      </c>
      <c r="D98" s="162">
        <f t="shared" si="211"/>
        <v>0.15908643494902477</v>
      </c>
      <c r="E98" s="162">
        <f t="shared" si="211"/>
        <v>0.15908643494902477</v>
      </c>
      <c r="F98" s="162">
        <f t="shared" si="211"/>
        <v>0.15908643494902477</v>
      </c>
      <c r="G98" s="162">
        <f t="shared" si="211"/>
        <v>0.15908643494902477</v>
      </c>
      <c r="H98" s="162">
        <f t="shared" si="211"/>
        <v>0.15908643494902477</v>
      </c>
      <c r="I98" s="162">
        <f t="shared" si="211"/>
        <v>0.15908643494902477</v>
      </c>
      <c r="J98" s="162">
        <f t="shared" si="211"/>
        <v>0.15908643494902477</v>
      </c>
      <c r="K98" s="162">
        <f t="shared" si="211"/>
        <v>0.15908643494902477</v>
      </c>
      <c r="L98" s="162">
        <f t="shared" si="211"/>
        <v>0.15908643494902477</v>
      </c>
      <c r="M98" s="162">
        <f t="shared" si="211"/>
        <v>0.15908643494902477</v>
      </c>
      <c r="N98" s="162">
        <f t="shared" si="211"/>
        <v>0.15908643494902477</v>
      </c>
      <c r="O98" s="162">
        <f t="shared" si="211"/>
        <v>0.15908643494902477</v>
      </c>
      <c r="P98" s="162">
        <f t="shared" si="211"/>
        <v>0.15908643494902477</v>
      </c>
      <c r="Q98" s="162">
        <f t="shared" si="211"/>
        <v>0.15908643494902477</v>
      </c>
      <c r="R98" s="162">
        <f t="shared" si="211"/>
        <v>0.15908643494902477</v>
      </c>
      <c r="S98" s="162">
        <f t="shared" si="211"/>
        <v>0.15908643494902477</v>
      </c>
      <c r="T98" s="162">
        <f t="shared" si="211"/>
        <v>0.15908643494902477</v>
      </c>
      <c r="U98" s="162">
        <f t="shared" si="211"/>
        <v>0.15908643494902477</v>
      </c>
      <c r="V98" s="162">
        <f t="shared" si="211"/>
        <v>0.15908643494902477</v>
      </c>
      <c r="W98" s="162">
        <f t="shared" si="211"/>
        <v>0.15908643494902477</v>
      </c>
      <c r="X98" s="162">
        <f t="shared" si="211"/>
        <v>0.15908643494902477</v>
      </c>
      <c r="Y98" s="162">
        <f t="shared" si="211"/>
        <v>0.15908643494902477</v>
      </c>
      <c r="Z98" s="162">
        <f t="shared" si="211"/>
        <v>0.15908643494902477</v>
      </c>
      <c r="AA98" s="162">
        <f t="shared" si="211"/>
        <v>0.15908643494902477</v>
      </c>
      <c r="AB98" s="162">
        <f t="shared" si="211"/>
        <v>0.15908643494902477</v>
      </c>
      <c r="AC98" s="162">
        <f t="shared" si="211"/>
        <v>0.15908643494902477</v>
      </c>
      <c r="AD98" s="162">
        <f t="shared" si="211"/>
        <v>0.15908643494902477</v>
      </c>
      <c r="AE98" s="162">
        <f t="shared" si="211"/>
        <v>0.15908643494902477</v>
      </c>
      <c r="AF98" s="162">
        <f t="shared" si="211"/>
        <v>0.15908643494902477</v>
      </c>
      <c r="AG98" s="162">
        <f t="shared" si="211"/>
        <v>0.15908643494902477</v>
      </c>
      <c r="AH98" s="162">
        <f t="shared" si="211"/>
        <v>0.15908643494902477</v>
      </c>
      <c r="AI98" s="162">
        <f t="shared" ref="AI98:BN98" si="212">(AI$40/(AI$10^2))*((PI()^2)/4)*(AI15*100/AI$39)*(((SIN(AI$33))^2)/(AI$5+AI$11*AI$6)^2)</f>
        <v>0.15908643494902477</v>
      </c>
      <c r="AJ98" s="162">
        <f t="shared" si="212"/>
        <v>0.15908643494902477</v>
      </c>
      <c r="AK98" s="162">
        <f t="shared" si="212"/>
        <v>0.15908643494902477</v>
      </c>
      <c r="AL98" s="162">
        <f t="shared" si="212"/>
        <v>0.15908643494902477</v>
      </c>
      <c r="AM98" s="162">
        <f t="shared" si="212"/>
        <v>0.15908643494902477</v>
      </c>
      <c r="AN98" s="162">
        <f t="shared" si="212"/>
        <v>0.15908643494902477</v>
      </c>
      <c r="AO98" s="162">
        <f t="shared" si="212"/>
        <v>0.15908643494902477</v>
      </c>
      <c r="AP98" s="162">
        <f t="shared" si="212"/>
        <v>0.15908643494902477</v>
      </c>
      <c r="AQ98" s="162">
        <f t="shared" si="212"/>
        <v>0.15908643494902477</v>
      </c>
      <c r="AR98" s="162">
        <f t="shared" si="212"/>
        <v>0.15908643494902477</v>
      </c>
      <c r="AS98" s="162">
        <f t="shared" si="212"/>
        <v>0.15908643494902477</v>
      </c>
      <c r="AT98" s="162">
        <f t="shared" si="212"/>
        <v>0.15908643494902477</v>
      </c>
      <c r="AU98" s="162">
        <f t="shared" si="212"/>
        <v>0.15908643494902477</v>
      </c>
      <c r="AV98" s="162">
        <f t="shared" si="212"/>
        <v>0.15908643494902477</v>
      </c>
      <c r="AW98" s="162">
        <f t="shared" si="212"/>
        <v>0.15908643494902477</v>
      </c>
      <c r="AX98" s="162">
        <f t="shared" si="212"/>
        <v>0.15908643494902477</v>
      </c>
      <c r="AY98" s="162">
        <f t="shared" si="212"/>
        <v>0.15908643494902477</v>
      </c>
      <c r="AZ98" s="162">
        <f t="shared" si="212"/>
        <v>0.15908643494902477</v>
      </c>
      <c r="BA98" s="162">
        <f t="shared" si="212"/>
        <v>0.15908643494902477</v>
      </c>
      <c r="BB98" s="162">
        <f t="shared" si="212"/>
        <v>0.15908643494902477</v>
      </c>
      <c r="BC98" s="162">
        <f t="shared" si="212"/>
        <v>0.15908643494902477</v>
      </c>
      <c r="BD98" s="162">
        <f t="shared" si="212"/>
        <v>0.15908643494902477</v>
      </c>
      <c r="BE98" s="162">
        <f t="shared" si="212"/>
        <v>0.15908643494902477</v>
      </c>
      <c r="BF98" s="162">
        <f t="shared" si="212"/>
        <v>0.15908643494902477</v>
      </c>
      <c r="BG98" s="162">
        <f t="shared" si="212"/>
        <v>0.15908643494902477</v>
      </c>
      <c r="BH98" s="162">
        <f t="shared" si="212"/>
        <v>0.15908643494902477</v>
      </c>
      <c r="BI98" s="162">
        <f t="shared" si="212"/>
        <v>0.15908643494902477</v>
      </c>
      <c r="BJ98" s="162">
        <f t="shared" si="212"/>
        <v>0.15908643494902477</v>
      </c>
      <c r="BK98" s="162">
        <f t="shared" si="212"/>
        <v>0.15908643494902477</v>
      </c>
      <c r="BL98" s="162">
        <f t="shared" si="212"/>
        <v>0.15908643494902477</v>
      </c>
      <c r="BM98" s="162">
        <f t="shared" si="212"/>
        <v>0.15908643494902477</v>
      </c>
      <c r="BN98" s="162">
        <f t="shared" si="212"/>
        <v>0.15908643494902477</v>
      </c>
      <c r="BO98" s="162">
        <f t="shared" ref="BO98:CG98" si="213">(BO$40/(BO$10^2))*((PI()^2)/4)*(BO15*100/BO$39)*(((SIN(BO$33))^2)/(BO$5+BO$11*BO$6)^2)</f>
        <v>0.15908643494902477</v>
      </c>
      <c r="BP98" s="162">
        <f t="shared" si="213"/>
        <v>0.15908643494902477</v>
      </c>
      <c r="BQ98" s="162">
        <f t="shared" si="213"/>
        <v>0.15908643494902477</v>
      </c>
      <c r="BR98" s="162">
        <f t="shared" si="213"/>
        <v>0.15908643494902477</v>
      </c>
      <c r="BS98" s="162">
        <f t="shared" si="213"/>
        <v>0.15908643494902477</v>
      </c>
      <c r="BT98" s="162">
        <f t="shared" si="213"/>
        <v>0.15908643494902477</v>
      </c>
      <c r="BU98" s="162">
        <f t="shared" si="213"/>
        <v>0.15908643494902477</v>
      </c>
      <c r="BV98" s="162">
        <f t="shared" si="213"/>
        <v>0.15908643494902477</v>
      </c>
      <c r="BW98" s="162">
        <f t="shared" si="213"/>
        <v>0.15908643494902477</v>
      </c>
      <c r="BX98" s="162">
        <f t="shared" si="213"/>
        <v>0.15908643494902477</v>
      </c>
      <c r="BY98" s="162">
        <f t="shared" si="213"/>
        <v>0.15908643494902477</v>
      </c>
      <c r="BZ98" s="162">
        <f t="shared" si="213"/>
        <v>0.15908643494902477</v>
      </c>
      <c r="CA98" s="162">
        <f t="shared" si="213"/>
        <v>0.15908643494902477</v>
      </c>
      <c r="CB98" s="162">
        <f t="shared" si="213"/>
        <v>0.15908643494902477</v>
      </c>
      <c r="CC98" s="162">
        <f t="shared" si="213"/>
        <v>0.15908643494902477</v>
      </c>
      <c r="CD98" s="162">
        <f t="shared" si="213"/>
        <v>0.15908643494902477</v>
      </c>
      <c r="CE98" s="162">
        <f t="shared" si="213"/>
        <v>0.15908643494902477</v>
      </c>
      <c r="CF98" s="162">
        <f t="shared" si="213"/>
        <v>0.15908643494902477</v>
      </c>
      <c r="CG98" s="162">
        <f t="shared" si="213"/>
        <v>0.15908643494902477</v>
      </c>
    </row>
    <row r="99" spans="1:86" ht="16.5" customHeight="1">
      <c r="B99" s="162" t="s">
        <v>852</v>
      </c>
      <c r="C99" s="162">
        <f t="shared" ref="C99:AH99" si="214">1/((1+(C$23*(1-(1/(C$25^2)))))^2+(C95*(C$25-(1/C$25)))^2)^0.5</f>
        <v>2.2187500493012985E-8</v>
      </c>
      <c r="D99" s="162">
        <f t="shared" si="214"/>
        <v>9.8452624646709467E-4</v>
      </c>
      <c r="E99" s="162">
        <f t="shared" si="214"/>
        <v>2.8115237786503029E-3</v>
      </c>
      <c r="F99" s="162">
        <f t="shared" si="214"/>
        <v>5.5868207894404949E-3</v>
      </c>
      <c r="G99" s="162">
        <f t="shared" si="214"/>
        <v>9.3261240318765464E-3</v>
      </c>
      <c r="H99" s="162">
        <f t="shared" si="214"/>
        <v>1.4050749230097618E-2</v>
      </c>
      <c r="I99" s="162">
        <f t="shared" si="214"/>
        <v>1.9787877893706937E-2</v>
      </c>
      <c r="J99" s="162">
        <f t="shared" si="214"/>
        <v>2.6570885535603519E-2</v>
      </c>
      <c r="K99" s="162">
        <f t="shared" si="214"/>
        <v>3.4439745432998915E-2</v>
      </c>
      <c r="L99" s="162">
        <f t="shared" si="214"/>
        <v>4.3441512638418014E-2</v>
      </c>
      <c r="M99" s="162">
        <f t="shared" si="214"/>
        <v>5.3630893260543239E-2</v>
      </c>
      <c r="N99" s="162">
        <f t="shared" si="214"/>
        <v>6.5070903940646685E-2</v>
      </c>
      <c r="O99" s="162">
        <f t="shared" si="214"/>
        <v>7.7833625717839944E-2</v>
      </c>
      <c r="P99" s="162">
        <f t="shared" si="214"/>
        <v>9.2001054760621495E-2</v>
      </c>
      <c r="Q99" s="162">
        <f t="shared" si="214"/>
        <v>0.10766604923402472</v>
      </c>
      <c r="R99" s="162">
        <f t="shared" si="214"/>
        <v>0.12493336612555518</v>
      </c>
      <c r="S99" s="162">
        <f t="shared" si="214"/>
        <v>0.14392077308633108</v>
      </c>
      <c r="T99" s="162">
        <f t="shared" si="214"/>
        <v>0.16476020669723468</v>
      </c>
      <c r="U99" s="162">
        <f t="shared" si="214"/>
        <v>0.1875989278202099</v>
      </c>
      <c r="V99" s="162">
        <f t="shared" si="214"/>
        <v>0.21260059371103288</v>
      </c>
      <c r="W99" s="162">
        <f t="shared" si="214"/>
        <v>0.23994612101480037</v>
      </c>
      <c r="X99" s="162">
        <f t="shared" si="214"/>
        <v>0.26983414776957565</v>
      </c>
      <c r="Y99" s="162">
        <f t="shared" si="214"/>
        <v>0.3024808084330261</v>
      </c>
      <c r="Z99" s="162">
        <f t="shared" si="214"/>
        <v>0.33811840422001876</v>
      </c>
      <c r="AA99" s="162">
        <f t="shared" si="214"/>
        <v>0.37699237100628474</v>
      </c>
      <c r="AB99" s="162">
        <f t="shared" si="214"/>
        <v>0.4193557089365173</v>
      </c>
      <c r="AC99" s="162">
        <f t="shared" si="214"/>
        <v>0.46545973780143618</v>
      </c>
      <c r="AD99" s="162">
        <f t="shared" si="214"/>
        <v>0.515539692478585</v>
      </c>
      <c r="AE99" s="162">
        <f t="shared" si="214"/>
        <v>0.56979332047612463</v>
      </c>
      <c r="AF99" s="162">
        <f t="shared" si="214"/>
        <v>0.62835040207027704</v>
      </c>
      <c r="AG99" s="162">
        <f t="shared" si="214"/>
        <v>0.69123120606439348</v>
      </c>
      <c r="AH99" s="162">
        <f t="shared" si="214"/>
        <v>0.75829270227778001</v>
      </c>
      <c r="AI99" s="162">
        <f t="shared" ref="AI99:BN99" si="215">1/((1+(AI$23*(1-(1/(AI$25^2)))))^2+(AI95*(AI$25-(1/AI$25)))^2)^0.5</f>
        <v>0.82916343134051473</v>
      </c>
      <c r="AJ99" s="162">
        <f t="shared" si="215"/>
        <v>0.90317191597212443</v>
      </c>
      <c r="AK99" s="162">
        <f t="shared" si="215"/>
        <v>0.9792797475167534</v>
      </c>
      <c r="AL99" s="162">
        <f t="shared" si="215"/>
        <v>1.0560383632337544</v>
      </c>
      <c r="AM99" s="162">
        <f t="shared" si="215"/>
        <v>1.1315954204653231</v>
      </c>
      <c r="AN99" s="162">
        <f t="shared" si="215"/>
        <v>1.2037774268863417</v>
      </c>
      <c r="AO99" s="162">
        <f t="shared" si="215"/>
        <v>1.2702636523931707</v>
      </c>
      <c r="AP99" s="162">
        <f t="shared" si="215"/>
        <v>1.3034273869514379</v>
      </c>
      <c r="AQ99" s="162">
        <f t="shared" si="215"/>
        <v>1.3568669324433811</v>
      </c>
      <c r="AR99" s="162">
        <f t="shared" si="215"/>
        <v>1.3998350313061336</v>
      </c>
      <c r="AS99" s="162">
        <f t="shared" si="215"/>
        <v>1.4315634357036351</v>
      </c>
      <c r="AT99" s="162">
        <f t="shared" si="215"/>
        <v>1.4520706842343347</v>
      </c>
      <c r="AU99" s="162">
        <f t="shared" si="215"/>
        <v>1.4620765866972742</v>
      </c>
      <c r="AV99" s="162">
        <f t="shared" si="215"/>
        <v>1.4628137342720611</v>
      </c>
      <c r="AW99" s="162">
        <f t="shared" si="215"/>
        <v>1.4557995474992036</v>
      </c>
      <c r="AX99" s="162">
        <f t="shared" si="215"/>
        <v>1.4426267441388843</v>
      </c>
      <c r="AY99" s="162">
        <f t="shared" si="215"/>
        <v>1.4248065676914281</v>
      </c>
      <c r="AZ99" s="162">
        <f t="shared" si="215"/>
        <v>1.4036737082267887</v>
      </c>
      <c r="BA99" s="162">
        <f t="shared" si="215"/>
        <v>1.3803446137348525</v>
      </c>
      <c r="BB99" s="162">
        <f t="shared" si="215"/>
        <v>1.3557137252769509</v>
      </c>
      <c r="BC99" s="162">
        <f t="shared" si="215"/>
        <v>1.3304721968150905</v>
      </c>
      <c r="BD99" s="162">
        <f t="shared" si="215"/>
        <v>1.3051370887268592</v>
      </c>
      <c r="BE99" s="162">
        <f t="shared" si="215"/>
        <v>1.2800831293033021</v>
      </c>
      <c r="BF99" s="162">
        <f t="shared" si="215"/>
        <v>1.2555725802796642</v>
      </c>
      <c r="BG99" s="162">
        <f t="shared" si="215"/>
        <v>1.2317811467283026</v>
      </c>
      <c r="BH99" s="162">
        <f t="shared" si="215"/>
        <v>1.2088193415404738</v>
      </c>
      <c r="BI99" s="162">
        <f t="shared" si="215"/>
        <v>1.1867495038214986</v>
      </c>
      <c r="BJ99" s="162">
        <f t="shared" si="215"/>
        <v>1.1655990244633767</v>
      </c>
      <c r="BK99" s="162">
        <f t="shared" si="215"/>
        <v>1.1453704359709256</v>
      </c>
      <c r="BL99" s="162">
        <f t="shared" si="215"/>
        <v>1.1260489990354041</v>
      </c>
      <c r="BM99" s="162">
        <f t="shared" si="215"/>
        <v>1.1076083380892259</v>
      </c>
      <c r="BN99" s="162">
        <f t="shared" si="215"/>
        <v>1.0900145819418654</v>
      </c>
      <c r="BO99" s="162">
        <f t="shared" ref="BO99:CG99" si="216">1/((1+(BO$23*(1-(1/(BO$25^2)))))^2+(BO95*(BO$25-(1/BO$25)))^2)^0.5</f>
        <v>1.0732293732538578</v>
      </c>
      <c r="BP99" s="162">
        <f t="shared" si="216"/>
        <v>1.0572120302770045</v>
      </c>
      <c r="BQ99" s="162">
        <f t="shared" si="216"/>
        <v>1.0419210781727759</v>
      </c>
      <c r="BR99" s="162">
        <f t="shared" si="216"/>
        <v>1.0273153146368825</v>
      </c>
      <c r="BS99" s="162">
        <f t="shared" si="216"/>
        <v>1.0133545336674872</v>
      </c>
      <c r="BT99" s="162">
        <f t="shared" si="216"/>
        <v>1</v>
      </c>
      <c r="BU99" s="162">
        <f t="shared" si="216"/>
        <v>0.86932878949006742</v>
      </c>
      <c r="BV99" s="162">
        <f t="shared" si="216"/>
        <v>0.78302798081554392</v>
      </c>
      <c r="BW99" s="162">
        <f t="shared" si="216"/>
        <v>0.7189606421508844</v>
      </c>
      <c r="BX99" s="162">
        <f t="shared" si="216"/>
        <v>0.66758948949687114</v>
      </c>
      <c r="BY99" s="162">
        <f t="shared" si="216"/>
        <v>0.62435847968783431</v>
      </c>
      <c r="BZ99" s="162">
        <f t="shared" si="216"/>
        <v>0.58686236084385046</v>
      </c>
      <c r="CA99" s="162">
        <f t="shared" si="216"/>
        <v>0.55370968559883993</v>
      </c>
      <c r="CB99" s="162">
        <f t="shared" si="216"/>
        <v>0.5240246593310286</v>
      </c>
      <c r="CC99" s="162">
        <f t="shared" si="216"/>
        <v>0.49721244747550886</v>
      </c>
      <c r="CD99" s="162">
        <f t="shared" si="216"/>
        <v>0.47284171804791636</v>
      </c>
      <c r="CE99" s="162">
        <f t="shared" si="216"/>
        <v>0.45058264732500664</v>
      </c>
      <c r="CF99" s="162">
        <f t="shared" si="216"/>
        <v>0.430172514117447</v>
      </c>
      <c r="CG99" s="162">
        <f t="shared" si="216"/>
        <v>0.41139562149519593</v>
      </c>
    </row>
    <row r="100" spans="1:86" ht="16.5" customHeight="1">
      <c r="B100" s="162" t="s">
        <v>853</v>
      </c>
      <c r="C100" s="162">
        <f t="shared" ref="C100:AH100" si="217">1/((1+(C$23*(1-(1/(C$25^2)))))^2+(C96*(C$25-(1/C$25)))^2)^0.5</f>
        <v>2.218750058976488E-8</v>
      </c>
      <c r="D100" s="162">
        <f t="shared" si="217"/>
        <v>9.8471682158878904E-4</v>
      </c>
      <c r="E100" s="162">
        <f t="shared" si="217"/>
        <v>2.8130790595898834E-3</v>
      </c>
      <c r="F100" s="162">
        <f t="shared" si="217"/>
        <v>5.5929687645112965E-3</v>
      </c>
      <c r="G100" s="162">
        <f t="shared" si="217"/>
        <v>9.3432813516733087E-3</v>
      </c>
      <c r="H100" s="162">
        <f t="shared" si="217"/>
        <v>1.4089767007314614E-2</v>
      </c>
      <c r="I100" s="162">
        <f t="shared" si="217"/>
        <v>1.9865441268737807E-2</v>
      </c>
      <c r="J100" s="162">
        <f t="shared" si="217"/>
        <v>2.671111870883356E-2</v>
      </c>
      <c r="K100" s="162">
        <f t="shared" si="217"/>
        <v>3.4676083539654325E-2</v>
      </c>
      <c r="L100" s="162">
        <f t="shared" si="217"/>
        <v>4.3818914613833367E-2</v>
      </c>
      <c r="M100" s="162">
        <f t="shared" si="217"/>
        <v>5.4208486451283983E-2</v>
      </c>
      <c r="N100" s="162">
        <f t="shared" si="217"/>
        <v>6.5925172618457137E-2</v>
      </c>
      <c r="O100" s="162">
        <f t="shared" si="217"/>
        <v>7.9062283073140324E-2</v>
      </c>
      <c r="P100" s="162">
        <f t="shared" si="217"/>
        <v>9.3727772929082021E-2</v>
      </c>
      <c r="Q100" s="162">
        <f t="shared" si="217"/>
        <v>0.11004626633918932</v>
      </c>
      <c r="R100" s="162">
        <f t="shared" si="217"/>
        <v>0.12816144547120611</v>
      </c>
      <c r="S100" s="162">
        <f t="shared" si="217"/>
        <v>0.1482388600978507</v>
      </c>
      <c r="T100" s="162">
        <f t="shared" si="217"/>
        <v>0.17046921672443835</v>
      </c>
      <c r="U100" s="162">
        <f t="shared" si="217"/>
        <v>0.19507220488818441</v>
      </c>
      <c r="V100" s="162">
        <f t="shared" si="217"/>
        <v>0.22230090785668402</v>
      </c>
      <c r="W100" s="162">
        <f t="shared" si="217"/>
        <v>0.25244681786278594</v>
      </c>
      <c r="X100" s="162">
        <f t="shared" si="217"/>
        <v>0.285845419496081</v>
      </c>
      <c r="Y100" s="162">
        <f t="shared" si="217"/>
        <v>0.32288219772988536</v>
      </c>
      <c r="Z100" s="162">
        <f t="shared" si="217"/>
        <v>0.36399873449054476</v>
      </c>
      <c r="AA100" s="162">
        <f t="shared" si="217"/>
        <v>0.4096982234315199</v>
      </c>
      <c r="AB100" s="162">
        <f t="shared" si="217"/>
        <v>0.46054916781388577</v>
      </c>
      <c r="AC100" s="162">
        <f t="shared" si="217"/>
        <v>0.51718509560041925</v>
      </c>
      <c r="AD100" s="162">
        <f t="shared" si="217"/>
        <v>0.58029663416505017</v>
      </c>
      <c r="AE100" s="162">
        <f t="shared" si="217"/>
        <v>0.65060998375964496</v>
      </c>
      <c r="AF100" s="162">
        <f t="shared" si="217"/>
        <v>0.72884246792121943</v>
      </c>
      <c r="AG100" s="162">
        <f t="shared" si="217"/>
        <v>0.81562138950569552</v>
      </c>
      <c r="AH100" s="162">
        <f t="shared" si="217"/>
        <v>0.91134761413126231</v>
      </c>
      <c r="AI100" s="162">
        <f t="shared" ref="AI100:BN100" si="218">1/((1+(AI$23*(1-(1/(AI$25^2)))))^2+(AI96*(AI$25-(1/AI$25)))^2)^0.5</f>
        <v>1.0159827915618624</v>
      </c>
      <c r="AJ100" s="162">
        <f t="shared" si="218"/>
        <v>1.1287454024968693</v>
      </c>
      <c r="AK100" s="162">
        <f t="shared" si="218"/>
        <v>1.2477279787413214</v>
      </c>
      <c r="AL100" s="162">
        <f t="shared" si="218"/>
        <v>1.3695110786498488</v>
      </c>
      <c r="AM100" s="162">
        <f t="shared" si="218"/>
        <v>1.4889512611638971</v>
      </c>
      <c r="AN100" s="162">
        <f t="shared" si="218"/>
        <v>1.5994139734334325</v>
      </c>
      <c r="AO100" s="162">
        <f t="shared" si="218"/>
        <v>1.6936845817301764</v>
      </c>
      <c r="AP100" s="162">
        <f t="shared" si="218"/>
        <v>1.7360762585786664</v>
      </c>
      <c r="AQ100" s="162">
        <f t="shared" si="218"/>
        <v>1.7938004859261434</v>
      </c>
      <c r="AR100" s="162">
        <f t="shared" si="218"/>
        <v>1.8247271925331139</v>
      </c>
      <c r="AS100" s="162">
        <f t="shared" si="218"/>
        <v>1.8303735354631168</v>
      </c>
      <c r="AT100" s="162">
        <f t="shared" si="218"/>
        <v>1.8148357504198023</v>
      </c>
      <c r="AU100" s="162">
        <f t="shared" si="218"/>
        <v>1.7834146511434505</v>
      </c>
      <c r="AV100" s="162">
        <f t="shared" si="218"/>
        <v>1.7413726325908492</v>
      </c>
      <c r="AW100" s="162">
        <f t="shared" si="218"/>
        <v>1.6931775755833773</v>
      </c>
      <c r="AX100" s="162">
        <f t="shared" si="218"/>
        <v>1.6422328423988222</v>
      </c>
      <c r="AY100" s="162">
        <f t="shared" si="218"/>
        <v>1.5909226132943757</v>
      </c>
      <c r="AZ100" s="162">
        <f t="shared" si="218"/>
        <v>1.5407979866097228</v>
      </c>
      <c r="BA100" s="162">
        <f t="shared" si="218"/>
        <v>1.4927906244889653</v>
      </c>
      <c r="BB100" s="162">
        <f t="shared" si="218"/>
        <v>1.4474003227057912</v>
      </c>
      <c r="BC100" s="162">
        <f t="shared" si="218"/>
        <v>1.4048402852759538</v>
      </c>
      <c r="BD100" s="162">
        <f t="shared" si="218"/>
        <v>1.3651417800332339</v>
      </c>
      <c r="BE100" s="162">
        <f t="shared" si="218"/>
        <v>1.3282260746356342</v>
      </c>
      <c r="BF100" s="162">
        <f t="shared" si="218"/>
        <v>1.2939522395759915</v>
      </c>
      <c r="BG100" s="162">
        <f t="shared" si="218"/>
        <v>1.2621480438537473</v>
      </c>
      <c r="BH100" s="162">
        <f t="shared" si="218"/>
        <v>1.23262938876772</v>
      </c>
      <c r="BI100" s="162">
        <f t="shared" si="218"/>
        <v>1.2052121475209481</v>
      </c>
      <c r="BJ100" s="162">
        <f t="shared" si="218"/>
        <v>1.1797190624652119</v>
      </c>
      <c r="BK100" s="162">
        <f t="shared" si="218"/>
        <v>1.1559834778130489</v>
      </c>
      <c r="BL100" s="162">
        <f t="shared" si="218"/>
        <v>1.1338510816349738</v>
      </c>
      <c r="BM100" s="162">
        <f t="shared" si="218"/>
        <v>1.1131804233394118</v>
      </c>
      <c r="BN100" s="162">
        <f t="shared" si="218"/>
        <v>1.0938427018367789</v>
      </c>
      <c r="BO100" s="162">
        <f t="shared" ref="BO100:CG100" si="219">1/((1+(BO$23*(1-(1/(BO$25^2)))))^2+(BO96*(BO$25-(1/BO$25)))^2)^0.5</f>
        <v>1.0757211411967591</v>
      </c>
      <c r="BP100" s="162">
        <f t="shared" si="219"/>
        <v>1.0587101540013382</v>
      </c>
      <c r="BQ100" s="162">
        <f t="shared" si="219"/>
        <v>1.0427144168162863</v>
      </c>
      <c r="BR100" s="162">
        <f t="shared" si="219"/>
        <v>1.0276479332377229</v>
      </c>
      <c r="BS100" s="162">
        <f t="shared" si="219"/>
        <v>1.0134331285444595</v>
      </c>
      <c r="BT100" s="162">
        <f t="shared" si="219"/>
        <v>1</v>
      </c>
      <c r="BU100" s="162">
        <f t="shared" si="219"/>
        <v>0.87617182087508161</v>
      </c>
      <c r="BV100" s="162">
        <f t="shared" si="219"/>
        <v>0.80103241579817241</v>
      </c>
      <c r="BW100" s="162">
        <f t="shared" si="219"/>
        <v>0.74796933861991388</v>
      </c>
      <c r="BX100" s="162">
        <f t="shared" si="219"/>
        <v>0.7064892145411138</v>
      </c>
      <c r="BY100" s="162">
        <f t="shared" si="219"/>
        <v>0.67180884314654099</v>
      </c>
      <c r="BZ100" s="162">
        <f t="shared" si="219"/>
        <v>0.6415172082956111</v>
      </c>
      <c r="CA100" s="162">
        <f t="shared" si="219"/>
        <v>0.61430525325958796</v>
      </c>
      <c r="CB100" s="162">
        <f t="shared" si="219"/>
        <v>0.58941784137969455</v>
      </c>
      <c r="CC100" s="162">
        <f t="shared" si="219"/>
        <v>0.56639460466301605</v>
      </c>
      <c r="CD100" s="162">
        <f t="shared" si="219"/>
        <v>0.54493888314924754</v>
      </c>
      <c r="CE100" s="162">
        <f t="shared" si="219"/>
        <v>0.52484809447278757</v>
      </c>
      <c r="CF100" s="162">
        <f t="shared" si="219"/>
        <v>0.50597537790029756</v>
      </c>
      <c r="CG100" s="162">
        <f t="shared" si="219"/>
        <v>0.48820789580838586</v>
      </c>
    </row>
    <row r="101" spans="1:86" ht="16.5" customHeight="1">
      <c r="B101" s="162" t="s">
        <v>854</v>
      </c>
      <c r="C101" s="162">
        <f t="shared" ref="C101:AH101" si="220">1/((1+(C$23*(1-(1/(C$25^2)))))^2+(C97*(C$25-(1/C$25)))^2)^0.5</f>
        <v>2.2187500658873382E-8</v>
      </c>
      <c r="D101" s="162">
        <f t="shared" si="220"/>
        <v>9.8485301445229586E-4</v>
      </c>
      <c r="E101" s="162">
        <f t="shared" si="220"/>
        <v>2.8141915561174426E-3</v>
      </c>
      <c r="F101" s="162">
        <f t="shared" si="220"/>
        <v>5.5973726225653541E-3</v>
      </c>
      <c r="G101" s="162">
        <f t="shared" si="220"/>
        <v>9.3555947185451141E-3</v>
      </c>
      <c r="H101" s="162">
        <f t="shared" si="220"/>
        <v>1.4117836702627711E-2</v>
      </c>
      <c r="I101" s="162">
        <f t="shared" si="220"/>
        <v>1.9921405454977066E-2</v>
      </c>
      <c r="J101" s="162">
        <f t="shared" si="220"/>
        <v>2.6812655667801551E-2</v>
      </c>
      <c r="K101" s="162">
        <f t="shared" si="220"/>
        <v>3.4847906847597733E-2</v>
      </c>
      <c r="L101" s="162">
        <f t="shared" si="220"/>
        <v>4.4094590399283935E-2</v>
      </c>
      <c r="M101" s="162">
        <f t="shared" si="220"/>
        <v>5.4632669241166637E-2</v>
      </c>
      <c r="N101" s="162">
        <f t="shared" si="220"/>
        <v>6.6556384368771038E-2</v>
      </c>
      <c r="O101" s="162">
        <f t="shared" si="220"/>
        <v>7.9976397913532143E-2</v>
      </c>
      <c r="P101" s="162">
        <f t="shared" si="220"/>
        <v>9.502242153292545E-2</v>
      </c>
      <c r="Q101" s="162">
        <f t="shared" si="220"/>
        <v>0.11184644373566215</v>
      </c>
      <c r="R101" s="162">
        <f t="shared" si="220"/>
        <v>0.13062670170568472</v>
      </c>
      <c r="S101" s="162">
        <f t="shared" si="220"/>
        <v>0.15157258456896436</v>
      </c>
      <c r="T101" s="162">
        <f t="shared" si="220"/>
        <v>0.17493070869487751</v>
      </c>
      <c r="U101" s="162">
        <f t="shared" si="220"/>
        <v>0.20099247508140472</v>
      </c>
      <c r="V101" s="162">
        <f t="shared" si="220"/>
        <v>0.23010350832604315</v>
      </c>
      <c r="W101" s="162">
        <f t="shared" si="220"/>
        <v>0.26267549057636225</v>
      </c>
      <c r="X101" s="162">
        <f t="shared" si="220"/>
        <v>0.29920104571574935</v>
      </c>
      <c r="Y101" s="162">
        <f t="shared" si="220"/>
        <v>0.34027249854372132</v>
      </c>
      <c r="Z101" s="162">
        <f t="shared" si="220"/>
        <v>0.38660551985480945</v>
      </c>
      <c r="AA101" s="162">
        <f t="shared" si="220"/>
        <v>0.43906883426600068</v>
      </c>
      <c r="AB101" s="162">
        <f t="shared" si="220"/>
        <v>0.49872121771323824</v>
      </c>
      <c r="AC101" s="162">
        <f t="shared" si="220"/>
        <v>0.56685672039518764</v>
      </c>
      <c r="AD101" s="162">
        <f t="shared" si="220"/>
        <v>0.6450579134185378</v>
      </c>
      <c r="AE101" s="162">
        <f t="shared" si="220"/>
        <v>0.73525387534525566</v>
      </c>
      <c r="AF101" s="162">
        <f t="shared" si="220"/>
        <v>0.83977228382931801</v>
      </c>
      <c r="AG101" s="162">
        <f t="shared" si="220"/>
        <v>0.96135860512265858</v>
      </c>
      <c r="AH101" s="162">
        <f t="shared" si="220"/>
        <v>1.1031008392582988</v>
      </c>
      <c r="AI101" s="162">
        <f t="shared" ref="AI101:BN101" si="221">1/((1+(AI$23*(1-(1/(AI$25^2)))))^2+(AI97*(AI$25-(1/AI$25)))^2)^0.5</f>
        <v>1.2681301598192407</v>
      </c>
      <c r="AJ101" s="162">
        <f t="shared" si="221"/>
        <v>1.4588483497673261</v>
      </c>
      <c r="AK101" s="162">
        <f t="shared" si="221"/>
        <v>1.6752746302618815</v>
      </c>
      <c r="AL101" s="162">
        <f t="shared" si="221"/>
        <v>1.9120699548544515</v>
      </c>
      <c r="AM101" s="162">
        <f t="shared" si="221"/>
        <v>2.1544526722035799</v>
      </c>
      <c r="AN101" s="162">
        <f t="shared" si="221"/>
        <v>2.3755039573408956</v>
      </c>
      <c r="AO101" s="162">
        <f t="shared" si="221"/>
        <v>2.5405256377648309</v>
      </c>
      <c r="AP101" s="162">
        <f t="shared" si="221"/>
        <v>2.5963320805277736</v>
      </c>
      <c r="AQ101" s="162">
        <f t="shared" si="221"/>
        <v>2.6279897749574981</v>
      </c>
      <c r="AR101" s="162">
        <f t="shared" si="221"/>
        <v>2.5790638536078516</v>
      </c>
      <c r="AS101" s="162">
        <f t="shared" si="221"/>
        <v>2.4757652502945455</v>
      </c>
      <c r="AT101" s="162">
        <f t="shared" si="221"/>
        <v>2.3458282430391502</v>
      </c>
      <c r="AU101" s="162">
        <f t="shared" si="221"/>
        <v>2.2094669601996775</v>
      </c>
      <c r="AV101" s="162">
        <f t="shared" si="221"/>
        <v>2.0782824873700725</v>
      </c>
      <c r="AW101" s="162">
        <f t="shared" si="221"/>
        <v>1.9576326985266959</v>
      </c>
      <c r="AX101" s="162">
        <f t="shared" si="221"/>
        <v>1.8492204535674617</v>
      </c>
      <c r="AY101" s="162">
        <f t="shared" si="221"/>
        <v>1.7528916799717629</v>
      </c>
      <c r="AZ101" s="162">
        <f t="shared" si="221"/>
        <v>1.6676759465087609</v>
      </c>
      <c r="BA101" s="162">
        <f t="shared" si="221"/>
        <v>1.5923290222580235</v>
      </c>
      <c r="BB101" s="162">
        <f t="shared" si="221"/>
        <v>1.5255929921684372</v>
      </c>
      <c r="BC101" s="162">
        <f t="shared" si="221"/>
        <v>1.4663082478021907</v>
      </c>
      <c r="BD101" s="162">
        <f t="shared" si="221"/>
        <v>1.4134519509595289</v>
      </c>
      <c r="BE101" s="162">
        <f t="shared" si="221"/>
        <v>1.366142040962482</v>
      </c>
      <c r="BF101" s="162">
        <f t="shared" si="221"/>
        <v>1.3236264948093288</v>
      </c>
      <c r="BG101" s="162">
        <f t="shared" si="221"/>
        <v>1.285267447447296</v>
      </c>
      <c r="BH101" s="162">
        <f t="shared" si="221"/>
        <v>1.2505246432316117</v>
      </c>
      <c r="BI101" s="162">
        <f t="shared" si="221"/>
        <v>1.2189401327203107</v>
      </c>
      <c r="BJ101" s="162">
        <f t="shared" si="221"/>
        <v>1.1901248884128413</v>
      </c>
      <c r="BK101" s="162">
        <f t="shared" si="221"/>
        <v>1.1637474358349409</v>
      </c>
      <c r="BL101" s="162">
        <f t="shared" si="221"/>
        <v>1.1395243486555815</v>
      </c>
      <c r="BM101" s="162">
        <f t="shared" si="221"/>
        <v>1.1172123688304811</v>
      </c>
      <c r="BN101" s="162">
        <f t="shared" si="221"/>
        <v>1.0966018997142886</v>
      </c>
      <c r="BO101" s="162">
        <f t="shared" ref="BO101:CG101" si="222">1/((1+(BO$23*(1-(1/(BO$25^2)))))^2+(BO97*(BO$25-(1/BO$25)))^2)^0.5</f>
        <v>1.0775116391540571</v>
      </c>
      <c r="BP101" s="162">
        <f t="shared" si="222"/>
        <v>1.0597841500518028</v>
      </c>
      <c r="BQ101" s="162">
        <f t="shared" si="222"/>
        <v>1.0432821980686571</v>
      </c>
      <c r="BR101" s="162">
        <f t="shared" si="222"/>
        <v>1.0278857158545507</v>
      </c>
      <c r="BS101" s="162">
        <f t="shared" si="222"/>
        <v>1.0134892789398935</v>
      </c>
      <c r="BT101" s="162">
        <f t="shared" si="222"/>
        <v>1</v>
      </c>
      <c r="BU101" s="162">
        <f t="shared" si="222"/>
        <v>0.88115983911680629</v>
      </c>
      <c r="BV101" s="162">
        <f t="shared" si="222"/>
        <v>0.81468073811458297</v>
      </c>
      <c r="BW101" s="162">
        <f t="shared" si="222"/>
        <v>0.77098072997612643</v>
      </c>
      <c r="BX101" s="162">
        <f t="shared" si="222"/>
        <v>0.73884480635708139</v>
      </c>
      <c r="BY101" s="162">
        <f t="shared" si="222"/>
        <v>0.7131965693655673</v>
      </c>
      <c r="BZ101" s="162">
        <f t="shared" si="222"/>
        <v>0.69145991082666902</v>
      </c>
      <c r="CA101" s="162">
        <f t="shared" si="222"/>
        <v>0.67222188892408763</v>
      </c>
      <c r="CB101" s="162">
        <f t="shared" si="222"/>
        <v>0.65466431727377361</v>
      </c>
      <c r="CC101" s="162">
        <f t="shared" si="222"/>
        <v>0.63829494665583164</v>
      </c>
      <c r="CD101" s="162">
        <f t="shared" si="222"/>
        <v>0.62280956930896869</v>
      </c>
      <c r="CE101" s="162">
        <f t="shared" si="222"/>
        <v>0.60801665070027733</v>
      </c>
      <c r="CF101" s="162">
        <f t="shared" si="222"/>
        <v>0.59379402431577666</v>
      </c>
      <c r="CG101" s="162">
        <f t="shared" si="222"/>
        <v>0.58006301128496196</v>
      </c>
    </row>
    <row r="102" spans="1:86" ht="16.5" customHeight="1">
      <c r="B102" s="162" t="s">
        <v>855</v>
      </c>
      <c r="C102" s="162">
        <f t="shared" ref="C102:AH102" si="223">1/((1+(C$23*(1-(1/(C$25^2)))))^2+(C98*(C$25-(1/C$25)))^2)^0.5</f>
        <v>2.2187500700338477E-8</v>
      </c>
      <c r="D102" s="162">
        <f t="shared" si="223"/>
        <v>9.8493475729978367E-4</v>
      </c>
      <c r="E102" s="162">
        <f t="shared" si="223"/>
        <v>2.8148596879138282E-3</v>
      </c>
      <c r="F102" s="162">
        <f t="shared" si="223"/>
        <v>5.6000199359348309E-3</v>
      </c>
      <c r="G102" s="162">
        <f t="shared" si="223"/>
        <v>9.3630061475422719E-3</v>
      </c>
      <c r="H102" s="162">
        <f t="shared" si="223"/>
        <v>1.4134759259910513E-2</v>
      </c>
      <c r="I102" s="162">
        <f t="shared" si="223"/>
        <v>1.9955211853492229E-2</v>
      </c>
      <c r="J102" s="162">
        <f t="shared" si="223"/>
        <v>2.6874136474959991E-2</v>
      </c>
      <c r="K102" s="162">
        <f t="shared" si="223"/>
        <v>3.4952235004287555E-2</v>
      </c>
      <c r="L102" s="162">
        <f t="shared" si="223"/>
        <v>4.4262514457151417E-2</v>
      </c>
      <c r="M102" s="162">
        <f t="shared" si="223"/>
        <v>5.4892009023494538E-2</v>
      </c>
      <c r="N102" s="162">
        <f t="shared" si="223"/>
        <v>6.6943926824627367E-2</v>
      </c>
      <c r="O102" s="162">
        <f t="shared" si="223"/>
        <v>8.0540324459977525E-2</v>
      </c>
      <c r="P102" s="162">
        <f t="shared" si="223"/>
        <v>9.5825445211215929E-2</v>
      </c>
      <c r="Q102" s="162">
        <f t="shared" si="223"/>
        <v>0.11296990105663211</v>
      </c>
      <c r="R102" s="162">
        <f t="shared" si="223"/>
        <v>0.13217593916099565</v>
      </c>
      <c r="S102" s="162">
        <f t="shared" si="223"/>
        <v>0.15368411717889352</v>
      </c>
      <c r="T102" s="162">
        <f t="shared" si="223"/>
        <v>0.17778182882038854</v>
      </c>
      <c r="U102" s="162">
        <f t="shared" si="223"/>
        <v>0.20481428712074592</v>
      </c>
      <c r="V102" s="162">
        <f t="shared" si="223"/>
        <v>0.23519881126878214</v>
      </c>
      <c r="W102" s="162">
        <f t="shared" si="223"/>
        <v>0.26944361008891216</v>
      </c>
      <c r="X102" s="162">
        <f t="shared" si="223"/>
        <v>0.30817276852794812</v>
      </c>
      <c r="Y102" s="162">
        <f t="shared" si="223"/>
        <v>0.35215991403562907</v>
      </c>
      <c r="Z102" s="162">
        <f t="shared" si="223"/>
        <v>0.40237421557419933</v>
      </c>
      <c r="AA102" s="162">
        <f t="shared" si="223"/>
        <v>0.4600441931045689</v>
      </c>
      <c r="AB102" s="162">
        <f t="shared" si="223"/>
        <v>0.52674769790634179</v>
      </c>
      <c r="AC102" s="162">
        <f t="shared" si="223"/>
        <v>0.60454105530451652</v>
      </c>
      <c r="AD102" s="162">
        <f t="shared" si="223"/>
        <v>0.69614792006346315</v>
      </c>
      <c r="AE102" s="162">
        <f t="shared" si="223"/>
        <v>0.80524087889014173</v>
      </c>
      <c r="AF102" s="162">
        <f t="shared" si="223"/>
        <v>0.93686951275947361</v>
      </c>
      <c r="AG102" s="162">
        <f t="shared" si="223"/>
        <v>1.0981222501604018</v>
      </c>
      <c r="AH102" s="162">
        <f t="shared" si="223"/>
        <v>1.2991599680400314</v>
      </c>
      <c r="AI102" s="162">
        <f t="shared" ref="AI102:BN102" si="224">1/((1+(AI$23*(1-(1/(AI$25^2)))))^2+(AI98*(AI$25-(1/AI$25)))^2)^0.5</f>
        <v>1.5548157534228186</v>
      </c>
      <c r="AJ102" s="162">
        <f t="shared" si="224"/>
        <v>1.8869191189514538</v>
      </c>
      <c r="AK102" s="162">
        <f t="shared" si="224"/>
        <v>2.3268640443961885</v>
      </c>
      <c r="AL102" s="162">
        <f t="shared" si="224"/>
        <v>2.9144360407834333</v>
      </c>
      <c r="AM102" s="162">
        <f t="shared" si="224"/>
        <v>3.6744632912065964</v>
      </c>
      <c r="AN102" s="162">
        <f t="shared" si="224"/>
        <v>4.5180288456886482</v>
      </c>
      <c r="AO102" s="162">
        <f t="shared" si="224"/>
        <v>5.0810379394232044</v>
      </c>
      <c r="AP102" s="162">
        <f t="shared" si="224"/>
        <v>5.110961206202929</v>
      </c>
      <c r="AQ102" s="162">
        <f t="shared" si="224"/>
        <v>4.7033915520154839</v>
      </c>
      <c r="AR102" s="162">
        <f t="shared" si="224"/>
        <v>4.0708143010254263</v>
      </c>
      <c r="AS102" s="162">
        <f t="shared" si="224"/>
        <v>3.4932975892721809</v>
      </c>
      <c r="AT102" s="162">
        <f t="shared" si="224"/>
        <v>3.0346902541570548</v>
      </c>
      <c r="AU102" s="162">
        <f t="shared" si="224"/>
        <v>2.6811853884839283</v>
      </c>
      <c r="AV102" s="162">
        <f t="shared" si="224"/>
        <v>2.4072320682235153</v>
      </c>
      <c r="AW102" s="162">
        <f t="shared" si="224"/>
        <v>2.1915278575730013</v>
      </c>
      <c r="AX102" s="162">
        <f t="shared" si="224"/>
        <v>2.018602511136764</v>
      </c>
      <c r="AY102" s="162">
        <f t="shared" si="224"/>
        <v>1.8775594430343145</v>
      </c>
      <c r="AZ102" s="162">
        <f t="shared" si="224"/>
        <v>1.7607073404668594</v>
      </c>
      <c r="BA102" s="162">
        <f t="shared" si="224"/>
        <v>1.662543757192509</v>
      </c>
      <c r="BB102" s="162">
        <f t="shared" si="224"/>
        <v>1.5790641766529949</v>
      </c>
      <c r="BC102" s="162">
        <f t="shared" si="224"/>
        <v>1.5073020647343729</v>
      </c>
      <c r="BD102" s="162">
        <f t="shared" si="224"/>
        <v>1.4450219084763885</v>
      </c>
      <c r="BE102" s="162">
        <f t="shared" si="224"/>
        <v>1.3905119264582848</v>
      </c>
      <c r="BF102" s="162">
        <f t="shared" si="224"/>
        <v>1.3424419209967631</v>
      </c>
      <c r="BG102" s="162">
        <f t="shared" si="224"/>
        <v>1.2997641869874288</v>
      </c>
      <c r="BH102" s="162">
        <f t="shared" si="224"/>
        <v>1.2616432981990255</v>
      </c>
      <c r="BI102" s="162">
        <f t="shared" si="224"/>
        <v>1.227405568111432</v>
      </c>
      <c r="BJ102" s="162">
        <f t="shared" si="224"/>
        <v>1.1965021284180162</v>
      </c>
      <c r="BK102" s="162">
        <f t="shared" si="224"/>
        <v>1.1684815783900475</v>
      </c>
      <c r="BL102" s="162">
        <f t="shared" si="224"/>
        <v>1.142969459852047</v>
      </c>
      <c r="BM102" s="162">
        <f t="shared" si="224"/>
        <v>1.1196526675509908</v>
      </c>
      <c r="BN102" s="162">
        <f t="shared" si="224"/>
        <v>1.0982674747010361</v>
      </c>
      <c r="BO102" s="162">
        <f t="shared" ref="BO102:CG102" si="225">1/((1+(BO$23*(1-(1/(BO$25^2)))))^2+(BO98*(BO$25-(1/BO$25)))^2)^0.5</f>
        <v>1.0785902389871262</v>
      </c>
      <c r="BP102" s="162">
        <f t="shared" si="225"/>
        <v>1.0604301186908529</v>
      </c>
      <c r="BQ102" s="162">
        <f t="shared" si="225"/>
        <v>1.0436233123477057</v>
      </c>
      <c r="BR102" s="162">
        <f t="shared" si="225"/>
        <v>1.0280284646770341</v>
      </c>
      <c r="BS102" s="162">
        <f t="shared" si="225"/>
        <v>1.0135229736574336</v>
      </c>
      <c r="BT102" s="162">
        <f t="shared" si="225"/>
        <v>1</v>
      </c>
      <c r="BU102" s="162">
        <f t="shared" si="225"/>
        <v>0.8841938540015104</v>
      </c>
      <c r="BV102" s="162">
        <f t="shared" si="225"/>
        <v>0.823212384167885</v>
      </c>
      <c r="BW102" s="162">
        <f t="shared" si="225"/>
        <v>0.78585064507277191</v>
      </c>
      <c r="BX102" s="162">
        <f t="shared" si="225"/>
        <v>0.76053088333740138</v>
      </c>
      <c r="BY102" s="162">
        <f t="shared" si="225"/>
        <v>0.74202991897912784</v>
      </c>
      <c r="BZ102" s="162">
        <f t="shared" si="225"/>
        <v>0.72767419220991192</v>
      </c>
      <c r="CA102" s="162">
        <f t="shared" si="225"/>
        <v>0.71596843944997601</v>
      </c>
      <c r="CB102" s="162">
        <f t="shared" si="225"/>
        <v>0.70601985922899657</v>
      </c>
      <c r="CC102" s="162">
        <f t="shared" si="225"/>
        <v>0.69726809741755791</v>
      </c>
      <c r="CD102" s="162">
        <f t="shared" si="225"/>
        <v>0.68934754512369922</v>
      </c>
      <c r="CE102" s="162">
        <f t="shared" si="225"/>
        <v>0.68201229940551977</v>
      </c>
      <c r="CF102" s="162">
        <f t="shared" si="225"/>
        <v>0.67509300785337512</v>
      </c>
      <c r="CG102" s="162">
        <f t="shared" si="225"/>
        <v>0.66847091301282935</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0.31817286989804944</v>
      </c>
      <c r="D104" s="162">
        <f t="shared" si="226"/>
        <v>0.31817286989804944</v>
      </c>
      <c r="E104" s="162">
        <f t="shared" si="226"/>
        <v>0.31817286989804944</v>
      </c>
      <c r="F104" s="162">
        <f t="shared" si="226"/>
        <v>0.31817286989804944</v>
      </c>
      <c r="G104" s="162">
        <f t="shared" si="226"/>
        <v>0.31817286989804944</v>
      </c>
      <c r="H104" s="162">
        <f t="shared" si="226"/>
        <v>0.31817286989804944</v>
      </c>
      <c r="I104" s="162">
        <f t="shared" si="226"/>
        <v>0.31817286989804944</v>
      </c>
      <c r="J104" s="162">
        <f t="shared" si="226"/>
        <v>0.31817286989804944</v>
      </c>
      <c r="K104" s="162">
        <f t="shared" si="226"/>
        <v>0.31817286989804944</v>
      </c>
      <c r="L104" s="162">
        <f t="shared" si="226"/>
        <v>0.31817286989804944</v>
      </c>
      <c r="M104" s="162">
        <f t="shared" si="226"/>
        <v>0.31817286989804944</v>
      </c>
      <c r="N104" s="162">
        <f t="shared" si="226"/>
        <v>0.31817286989804944</v>
      </c>
      <c r="O104" s="162">
        <f t="shared" si="226"/>
        <v>0.31817286989804944</v>
      </c>
      <c r="P104" s="162">
        <f t="shared" si="226"/>
        <v>0.31817286989804944</v>
      </c>
      <c r="Q104" s="162">
        <f t="shared" si="226"/>
        <v>0.31817286989804944</v>
      </c>
      <c r="R104" s="162">
        <f t="shared" si="226"/>
        <v>0.31817286989804944</v>
      </c>
      <c r="S104" s="162">
        <f t="shared" si="226"/>
        <v>0.31817286989804944</v>
      </c>
      <c r="T104" s="162">
        <f t="shared" si="226"/>
        <v>0.31817286989804944</v>
      </c>
      <c r="U104" s="162">
        <f t="shared" si="226"/>
        <v>0.31817286989804944</v>
      </c>
      <c r="V104" s="162">
        <f t="shared" si="226"/>
        <v>0.31817286989804944</v>
      </c>
      <c r="W104" s="162">
        <f t="shared" si="226"/>
        <v>0.31817286989804944</v>
      </c>
      <c r="X104" s="162">
        <f t="shared" si="226"/>
        <v>0.31817286989804944</v>
      </c>
      <c r="Y104" s="162">
        <f t="shared" si="226"/>
        <v>0.31817286989804944</v>
      </c>
      <c r="Z104" s="162">
        <f t="shared" si="226"/>
        <v>0.31817286989804944</v>
      </c>
      <c r="AA104" s="162">
        <f t="shared" si="226"/>
        <v>0.31817286989804944</v>
      </c>
      <c r="AB104" s="162">
        <f t="shared" si="226"/>
        <v>0.31817286989804944</v>
      </c>
      <c r="AC104" s="162">
        <f t="shared" si="226"/>
        <v>0.31817286989804944</v>
      </c>
      <c r="AD104" s="162">
        <f t="shared" si="226"/>
        <v>0.31817286989804944</v>
      </c>
      <c r="AE104" s="162">
        <f t="shared" si="226"/>
        <v>0.31817286989804944</v>
      </c>
      <c r="AF104" s="162">
        <f t="shared" si="226"/>
        <v>0.31817286989804944</v>
      </c>
      <c r="AG104" s="162">
        <f t="shared" si="226"/>
        <v>0.31817286989804944</v>
      </c>
      <c r="AH104" s="162">
        <f t="shared" si="226"/>
        <v>0.31817286989804944</v>
      </c>
      <c r="AI104" s="162">
        <f t="shared" ref="AI104:BN104" si="227">(AI$40/(AI$10^2))*((PI()^2)/4)*(AI12*100/AI$39)*(((SIN(AI$36))^2)/(AI$5+AI$11*AI$6)^2)</f>
        <v>0.31817286989804944</v>
      </c>
      <c r="AJ104" s="162">
        <f t="shared" si="227"/>
        <v>0.31817286989804944</v>
      </c>
      <c r="AK104" s="162">
        <f t="shared" si="227"/>
        <v>0.31817286989804944</v>
      </c>
      <c r="AL104" s="162">
        <f t="shared" si="227"/>
        <v>0.31817286989804944</v>
      </c>
      <c r="AM104" s="162">
        <f t="shared" si="227"/>
        <v>0.31817286989804944</v>
      </c>
      <c r="AN104" s="162">
        <f t="shared" si="227"/>
        <v>0.31817286989804944</v>
      </c>
      <c r="AO104" s="162">
        <f t="shared" si="227"/>
        <v>0.31817286989804944</v>
      </c>
      <c r="AP104" s="162">
        <f t="shared" si="227"/>
        <v>0.31817286989804944</v>
      </c>
      <c r="AQ104" s="162">
        <f t="shared" si="227"/>
        <v>0.31817286989804944</v>
      </c>
      <c r="AR104" s="162">
        <f t="shared" si="227"/>
        <v>0.31817286989804944</v>
      </c>
      <c r="AS104" s="162">
        <f t="shared" si="227"/>
        <v>0.31817286989804944</v>
      </c>
      <c r="AT104" s="162">
        <f t="shared" si="227"/>
        <v>0.31817286989804944</v>
      </c>
      <c r="AU104" s="162">
        <f t="shared" si="227"/>
        <v>0.31817286989804944</v>
      </c>
      <c r="AV104" s="162">
        <f t="shared" si="227"/>
        <v>0.31817286989804944</v>
      </c>
      <c r="AW104" s="162">
        <f t="shared" si="227"/>
        <v>0.31817286989804944</v>
      </c>
      <c r="AX104" s="162">
        <f t="shared" si="227"/>
        <v>0.31817286989804944</v>
      </c>
      <c r="AY104" s="162">
        <f t="shared" si="227"/>
        <v>0.31817286989804944</v>
      </c>
      <c r="AZ104" s="162">
        <f t="shared" si="227"/>
        <v>0.31817286989804944</v>
      </c>
      <c r="BA104" s="162">
        <f t="shared" si="227"/>
        <v>0.31817286989804944</v>
      </c>
      <c r="BB104" s="162">
        <f t="shared" si="227"/>
        <v>0.31817286989804944</v>
      </c>
      <c r="BC104" s="162">
        <f t="shared" si="227"/>
        <v>0.31817286989804944</v>
      </c>
      <c r="BD104" s="162">
        <f t="shared" si="227"/>
        <v>0.31817286989804944</v>
      </c>
      <c r="BE104" s="162">
        <f t="shared" si="227"/>
        <v>0.31817286989804944</v>
      </c>
      <c r="BF104" s="162">
        <f t="shared" si="227"/>
        <v>0.31817286989804944</v>
      </c>
      <c r="BG104" s="162">
        <f t="shared" si="227"/>
        <v>0.31817286989804944</v>
      </c>
      <c r="BH104" s="162">
        <f t="shared" si="227"/>
        <v>0.31817286989804944</v>
      </c>
      <c r="BI104" s="162">
        <f t="shared" si="227"/>
        <v>0.31817286989804944</v>
      </c>
      <c r="BJ104" s="162">
        <f t="shared" si="227"/>
        <v>0.31817286989804944</v>
      </c>
      <c r="BK104" s="162">
        <f t="shared" si="227"/>
        <v>0.31817286989804944</v>
      </c>
      <c r="BL104" s="162">
        <f t="shared" si="227"/>
        <v>0.31817286989804944</v>
      </c>
      <c r="BM104" s="162">
        <f t="shared" si="227"/>
        <v>0.31817286989804944</v>
      </c>
      <c r="BN104" s="162">
        <f t="shared" si="227"/>
        <v>0.31817286989804944</v>
      </c>
      <c r="BO104" s="162">
        <f t="shared" ref="BO104:CG104" si="228">(BO$40/(BO$10^2))*((PI()^2)/4)*(BO12*100/BO$39)*(((SIN(BO$36))^2)/(BO$5+BO$11*BO$6)^2)</f>
        <v>0.31817286989804944</v>
      </c>
      <c r="BP104" s="162">
        <f t="shared" si="228"/>
        <v>0.31817286989804944</v>
      </c>
      <c r="BQ104" s="162">
        <f t="shared" si="228"/>
        <v>0.31817286989804944</v>
      </c>
      <c r="BR104" s="162">
        <f t="shared" si="228"/>
        <v>0.31817286989804944</v>
      </c>
      <c r="BS104" s="162">
        <f t="shared" si="228"/>
        <v>0.31817286989804944</v>
      </c>
      <c r="BT104" s="162">
        <f t="shared" si="228"/>
        <v>0.31817286989804944</v>
      </c>
      <c r="BU104" s="162">
        <f t="shared" si="228"/>
        <v>0.31817286989804944</v>
      </c>
      <c r="BV104" s="162">
        <f t="shared" si="228"/>
        <v>0.31817286989804944</v>
      </c>
      <c r="BW104" s="162">
        <f t="shared" si="228"/>
        <v>0.31817286989804944</v>
      </c>
      <c r="BX104" s="162">
        <f t="shared" si="228"/>
        <v>0.31817286989804944</v>
      </c>
      <c r="BY104" s="162">
        <f t="shared" si="228"/>
        <v>0.31817286989804944</v>
      </c>
      <c r="BZ104" s="162">
        <f t="shared" si="228"/>
        <v>0.31817286989804944</v>
      </c>
      <c r="CA104" s="162">
        <f t="shared" si="228"/>
        <v>0.31817286989804944</v>
      </c>
      <c r="CB104" s="162">
        <f t="shared" si="228"/>
        <v>0.31817286989804944</v>
      </c>
      <c r="CC104" s="162">
        <f t="shared" si="228"/>
        <v>0.31817286989804944</v>
      </c>
      <c r="CD104" s="162">
        <f t="shared" si="228"/>
        <v>0.31817286989804944</v>
      </c>
      <c r="CE104" s="162">
        <f t="shared" si="228"/>
        <v>0.31817286989804944</v>
      </c>
      <c r="CF104" s="162">
        <f t="shared" si="228"/>
        <v>0.31817286989804944</v>
      </c>
      <c r="CG104" s="162">
        <f t="shared" si="228"/>
        <v>0.31817286989804944</v>
      </c>
      <c r="CH104" s="162"/>
    </row>
    <row r="105" spans="1:86" ht="16.5" customHeight="1">
      <c r="B105" s="162" t="s">
        <v>857</v>
      </c>
      <c r="C105" s="162">
        <f t="shared" ref="C105:AH105" si="229">(C$40/(C$10^2))*((PI()^2)/4)*(C13*100/C$39)*(((SIN(C$36))^2)/(C$5+C$11*C$6)^2)</f>
        <v>0.23862965242353706</v>
      </c>
      <c r="D105" s="162">
        <f t="shared" si="229"/>
        <v>0.23862965242353706</v>
      </c>
      <c r="E105" s="162">
        <f t="shared" si="229"/>
        <v>0.23862965242353706</v>
      </c>
      <c r="F105" s="162">
        <f t="shared" si="229"/>
        <v>0.23862965242353706</v>
      </c>
      <c r="G105" s="162">
        <f t="shared" si="229"/>
        <v>0.23862965242353706</v>
      </c>
      <c r="H105" s="162">
        <f t="shared" si="229"/>
        <v>0.23862965242353706</v>
      </c>
      <c r="I105" s="162">
        <f t="shared" si="229"/>
        <v>0.23862965242353706</v>
      </c>
      <c r="J105" s="162">
        <f t="shared" si="229"/>
        <v>0.23862965242353706</v>
      </c>
      <c r="K105" s="162">
        <f t="shared" si="229"/>
        <v>0.23862965242353706</v>
      </c>
      <c r="L105" s="162">
        <f t="shared" si="229"/>
        <v>0.23862965242353706</v>
      </c>
      <c r="M105" s="162">
        <f t="shared" si="229"/>
        <v>0.23862965242353706</v>
      </c>
      <c r="N105" s="162">
        <f t="shared" si="229"/>
        <v>0.23862965242353706</v>
      </c>
      <c r="O105" s="162">
        <f t="shared" si="229"/>
        <v>0.23862965242353706</v>
      </c>
      <c r="P105" s="162">
        <f t="shared" si="229"/>
        <v>0.23862965242353706</v>
      </c>
      <c r="Q105" s="162">
        <f t="shared" si="229"/>
        <v>0.23862965242353706</v>
      </c>
      <c r="R105" s="162">
        <f t="shared" si="229"/>
        <v>0.23862965242353706</v>
      </c>
      <c r="S105" s="162">
        <f t="shared" si="229"/>
        <v>0.23862965242353706</v>
      </c>
      <c r="T105" s="162">
        <f t="shared" si="229"/>
        <v>0.23862965242353706</v>
      </c>
      <c r="U105" s="162">
        <f t="shared" si="229"/>
        <v>0.23862965242353706</v>
      </c>
      <c r="V105" s="162">
        <f t="shared" si="229"/>
        <v>0.23862965242353706</v>
      </c>
      <c r="W105" s="162">
        <f t="shared" si="229"/>
        <v>0.23862965242353706</v>
      </c>
      <c r="X105" s="162">
        <f t="shared" si="229"/>
        <v>0.23862965242353706</v>
      </c>
      <c r="Y105" s="162">
        <f t="shared" si="229"/>
        <v>0.23862965242353706</v>
      </c>
      <c r="Z105" s="162">
        <f t="shared" si="229"/>
        <v>0.23862965242353706</v>
      </c>
      <c r="AA105" s="162">
        <f t="shared" si="229"/>
        <v>0.23862965242353706</v>
      </c>
      <c r="AB105" s="162">
        <f t="shared" si="229"/>
        <v>0.23862965242353706</v>
      </c>
      <c r="AC105" s="162">
        <f t="shared" si="229"/>
        <v>0.23862965242353706</v>
      </c>
      <c r="AD105" s="162">
        <f t="shared" si="229"/>
        <v>0.23862965242353706</v>
      </c>
      <c r="AE105" s="162">
        <f t="shared" si="229"/>
        <v>0.23862965242353706</v>
      </c>
      <c r="AF105" s="162">
        <f t="shared" si="229"/>
        <v>0.23862965242353706</v>
      </c>
      <c r="AG105" s="162">
        <f t="shared" si="229"/>
        <v>0.23862965242353706</v>
      </c>
      <c r="AH105" s="162">
        <f t="shared" si="229"/>
        <v>0.23862965242353706</v>
      </c>
      <c r="AI105" s="162">
        <f t="shared" ref="AI105:BN105" si="230">(AI$40/(AI$10^2))*((PI()^2)/4)*(AI13*100/AI$39)*(((SIN(AI$36))^2)/(AI$5+AI$11*AI$6)^2)</f>
        <v>0.23862965242353706</v>
      </c>
      <c r="AJ105" s="162">
        <f t="shared" si="230"/>
        <v>0.23862965242353706</v>
      </c>
      <c r="AK105" s="162">
        <f t="shared" si="230"/>
        <v>0.23862965242353706</v>
      </c>
      <c r="AL105" s="162">
        <f t="shared" si="230"/>
        <v>0.23862965242353706</v>
      </c>
      <c r="AM105" s="162">
        <f t="shared" si="230"/>
        <v>0.23862965242353706</v>
      </c>
      <c r="AN105" s="162">
        <f t="shared" si="230"/>
        <v>0.23862965242353706</v>
      </c>
      <c r="AO105" s="162">
        <f t="shared" si="230"/>
        <v>0.23862965242353706</v>
      </c>
      <c r="AP105" s="162">
        <f t="shared" si="230"/>
        <v>0.23862965242353706</v>
      </c>
      <c r="AQ105" s="162">
        <f t="shared" si="230"/>
        <v>0.23862965242353706</v>
      </c>
      <c r="AR105" s="162">
        <f t="shared" si="230"/>
        <v>0.23862965242353706</v>
      </c>
      <c r="AS105" s="162">
        <f t="shared" si="230"/>
        <v>0.23862965242353706</v>
      </c>
      <c r="AT105" s="162">
        <f t="shared" si="230"/>
        <v>0.23862965242353706</v>
      </c>
      <c r="AU105" s="162">
        <f t="shared" si="230"/>
        <v>0.23862965242353706</v>
      </c>
      <c r="AV105" s="162">
        <f t="shared" si="230"/>
        <v>0.23862965242353706</v>
      </c>
      <c r="AW105" s="162">
        <f t="shared" si="230"/>
        <v>0.23862965242353706</v>
      </c>
      <c r="AX105" s="162">
        <f t="shared" si="230"/>
        <v>0.23862965242353706</v>
      </c>
      <c r="AY105" s="162">
        <f t="shared" si="230"/>
        <v>0.23862965242353706</v>
      </c>
      <c r="AZ105" s="162">
        <f t="shared" si="230"/>
        <v>0.23862965242353706</v>
      </c>
      <c r="BA105" s="162">
        <f t="shared" si="230"/>
        <v>0.23862965242353706</v>
      </c>
      <c r="BB105" s="162">
        <f t="shared" si="230"/>
        <v>0.23862965242353706</v>
      </c>
      <c r="BC105" s="162">
        <f t="shared" si="230"/>
        <v>0.23862965242353706</v>
      </c>
      <c r="BD105" s="162">
        <f t="shared" si="230"/>
        <v>0.23862965242353706</v>
      </c>
      <c r="BE105" s="162">
        <f t="shared" si="230"/>
        <v>0.23862965242353706</v>
      </c>
      <c r="BF105" s="162">
        <f t="shared" si="230"/>
        <v>0.23862965242353706</v>
      </c>
      <c r="BG105" s="162">
        <f t="shared" si="230"/>
        <v>0.23862965242353706</v>
      </c>
      <c r="BH105" s="162">
        <f t="shared" si="230"/>
        <v>0.23862965242353706</v>
      </c>
      <c r="BI105" s="162">
        <f t="shared" si="230"/>
        <v>0.23862965242353706</v>
      </c>
      <c r="BJ105" s="162">
        <f t="shared" si="230"/>
        <v>0.23862965242353706</v>
      </c>
      <c r="BK105" s="162">
        <f t="shared" si="230"/>
        <v>0.23862965242353706</v>
      </c>
      <c r="BL105" s="162">
        <f t="shared" si="230"/>
        <v>0.23862965242353706</v>
      </c>
      <c r="BM105" s="162">
        <f t="shared" si="230"/>
        <v>0.23862965242353706</v>
      </c>
      <c r="BN105" s="162">
        <f t="shared" si="230"/>
        <v>0.23862965242353706</v>
      </c>
      <c r="BO105" s="162">
        <f t="shared" ref="BO105:CG105" si="231">(BO$40/(BO$10^2))*((PI()^2)/4)*(BO13*100/BO$39)*(((SIN(BO$36))^2)/(BO$5+BO$11*BO$6)^2)</f>
        <v>0.23862965242353706</v>
      </c>
      <c r="BP105" s="162">
        <f t="shared" si="231"/>
        <v>0.23862965242353706</v>
      </c>
      <c r="BQ105" s="162">
        <f t="shared" si="231"/>
        <v>0.23862965242353706</v>
      </c>
      <c r="BR105" s="162">
        <f t="shared" si="231"/>
        <v>0.23862965242353706</v>
      </c>
      <c r="BS105" s="162">
        <f t="shared" si="231"/>
        <v>0.23862965242353706</v>
      </c>
      <c r="BT105" s="162">
        <f t="shared" si="231"/>
        <v>0.23862965242353706</v>
      </c>
      <c r="BU105" s="162">
        <f t="shared" si="231"/>
        <v>0.23862965242353706</v>
      </c>
      <c r="BV105" s="162">
        <f t="shared" si="231"/>
        <v>0.23862965242353706</v>
      </c>
      <c r="BW105" s="162">
        <f t="shared" si="231"/>
        <v>0.23862965242353706</v>
      </c>
      <c r="BX105" s="162">
        <f t="shared" si="231"/>
        <v>0.23862965242353706</v>
      </c>
      <c r="BY105" s="162">
        <f t="shared" si="231"/>
        <v>0.23862965242353706</v>
      </c>
      <c r="BZ105" s="162">
        <f t="shared" si="231"/>
        <v>0.23862965242353706</v>
      </c>
      <c r="CA105" s="162">
        <f t="shared" si="231"/>
        <v>0.23862965242353706</v>
      </c>
      <c r="CB105" s="162">
        <f t="shared" si="231"/>
        <v>0.23862965242353706</v>
      </c>
      <c r="CC105" s="162">
        <f t="shared" si="231"/>
        <v>0.23862965242353706</v>
      </c>
      <c r="CD105" s="162">
        <f t="shared" si="231"/>
        <v>0.23862965242353706</v>
      </c>
      <c r="CE105" s="162">
        <f t="shared" si="231"/>
        <v>0.23862965242353706</v>
      </c>
      <c r="CF105" s="162">
        <f t="shared" si="231"/>
        <v>0.23862965242353706</v>
      </c>
      <c r="CG105" s="162">
        <f t="shared" si="231"/>
        <v>0.23862965242353706</v>
      </c>
      <c r="CH105" s="162"/>
    </row>
    <row r="106" spans="1:86" ht="16.5" customHeight="1">
      <c r="B106" s="162" t="s">
        <v>858</v>
      </c>
      <c r="C106" s="162">
        <f t="shared" ref="C106:AH106" si="232">(C$40/(C$10^2))*((PI()^2)/4)*(C14*100/C$39)*(((SIN(C$36))^2)/(C$5+C$11*C$6)^2)</f>
        <v>0.15908643494902472</v>
      </c>
      <c r="D106" s="162">
        <f t="shared" si="232"/>
        <v>0.15908643494902472</v>
      </c>
      <c r="E106" s="162">
        <f t="shared" si="232"/>
        <v>0.15908643494902472</v>
      </c>
      <c r="F106" s="162">
        <f t="shared" si="232"/>
        <v>0.15908643494902472</v>
      </c>
      <c r="G106" s="162">
        <f t="shared" si="232"/>
        <v>0.15908643494902472</v>
      </c>
      <c r="H106" s="162">
        <f t="shared" si="232"/>
        <v>0.15908643494902472</v>
      </c>
      <c r="I106" s="162">
        <f t="shared" si="232"/>
        <v>0.15908643494902472</v>
      </c>
      <c r="J106" s="162">
        <f t="shared" si="232"/>
        <v>0.15908643494902472</v>
      </c>
      <c r="K106" s="162">
        <f t="shared" si="232"/>
        <v>0.15908643494902472</v>
      </c>
      <c r="L106" s="162">
        <f t="shared" si="232"/>
        <v>0.15908643494902472</v>
      </c>
      <c r="M106" s="162">
        <f t="shared" si="232"/>
        <v>0.15908643494902472</v>
      </c>
      <c r="N106" s="162">
        <f t="shared" si="232"/>
        <v>0.15908643494902472</v>
      </c>
      <c r="O106" s="162">
        <f t="shared" si="232"/>
        <v>0.15908643494902472</v>
      </c>
      <c r="P106" s="162">
        <f t="shared" si="232"/>
        <v>0.15908643494902472</v>
      </c>
      <c r="Q106" s="162">
        <f t="shared" si="232"/>
        <v>0.15908643494902472</v>
      </c>
      <c r="R106" s="162">
        <f t="shared" si="232"/>
        <v>0.15908643494902472</v>
      </c>
      <c r="S106" s="162">
        <f t="shared" si="232"/>
        <v>0.15908643494902472</v>
      </c>
      <c r="T106" s="162">
        <f t="shared" si="232"/>
        <v>0.15908643494902472</v>
      </c>
      <c r="U106" s="162">
        <f t="shared" si="232"/>
        <v>0.15908643494902472</v>
      </c>
      <c r="V106" s="162">
        <f t="shared" si="232"/>
        <v>0.15908643494902472</v>
      </c>
      <c r="W106" s="162">
        <f t="shared" si="232"/>
        <v>0.15908643494902472</v>
      </c>
      <c r="X106" s="162">
        <f t="shared" si="232"/>
        <v>0.15908643494902472</v>
      </c>
      <c r="Y106" s="162">
        <f t="shared" si="232"/>
        <v>0.15908643494902472</v>
      </c>
      <c r="Z106" s="162">
        <f t="shared" si="232"/>
        <v>0.15908643494902472</v>
      </c>
      <c r="AA106" s="162">
        <f t="shared" si="232"/>
        <v>0.15908643494902472</v>
      </c>
      <c r="AB106" s="162">
        <f t="shared" si="232"/>
        <v>0.15908643494902472</v>
      </c>
      <c r="AC106" s="162">
        <f t="shared" si="232"/>
        <v>0.15908643494902472</v>
      </c>
      <c r="AD106" s="162">
        <f t="shared" si="232"/>
        <v>0.15908643494902472</v>
      </c>
      <c r="AE106" s="162">
        <f t="shared" si="232"/>
        <v>0.15908643494902472</v>
      </c>
      <c r="AF106" s="162">
        <f t="shared" si="232"/>
        <v>0.15908643494902472</v>
      </c>
      <c r="AG106" s="162">
        <f t="shared" si="232"/>
        <v>0.15908643494902472</v>
      </c>
      <c r="AH106" s="162">
        <f t="shared" si="232"/>
        <v>0.15908643494902472</v>
      </c>
      <c r="AI106" s="162">
        <f t="shared" ref="AI106:BN106" si="233">(AI$40/(AI$10^2))*((PI()^2)/4)*(AI14*100/AI$39)*(((SIN(AI$36))^2)/(AI$5+AI$11*AI$6)^2)</f>
        <v>0.15908643494902472</v>
      </c>
      <c r="AJ106" s="162">
        <f t="shared" si="233"/>
        <v>0.15908643494902472</v>
      </c>
      <c r="AK106" s="162">
        <f t="shared" si="233"/>
        <v>0.15908643494902472</v>
      </c>
      <c r="AL106" s="162">
        <f t="shared" si="233"/>
        <v>0.15908643494902472</v>
      </c>
      <c r="AM106" s="162">
        <f t="shared" si="233"/>
        <v>0.15908643494902472</v>
      </c>
      <c r="AN106" s="162">
        <f t="shared" si="233"/>
        <v>0.15908643494902472</v>
      </c>
      <c r="AO106" s="162">
        <f t="shared" si="233"/>
        <v>0.15908643494902472</v>
      </c>
      <c r="AP106" s="162">
        <f t="shared" si="233"/>
        <v>0.15908643494902472</v>
      </c>
      <c r="AQ106" s="162">
        <f t="shared" si="233"/>
        <v>0.15908643494902472</v>
      </c>
      <c r="AR106" s="162">
        <f t="shared" si="233"/>
        <v>0.15908643494902472</v>
      </c>
      <c r="AS106" s="162">
        <f t="shared" si="233"/>
        <v>0.15908643494902472</v>
      </c>
      <c r="AT106" s="162">
        <f t="shared" si="233"/>
        <v>0.15908643494902472</v>
      </c>
      <c r="AU106" s="162">
        <f t="shared" si="233"/>
        <v>0.15908643494902472</v>
      </c>
      <c r="AV106" s="162">
        <f t="shared" si="233"/>
        <v>0.15908643494902472</v>
      </c>
      <c r="AW106" s="162">
        <f t="shared" si="233"/>
        <v>0.15908643494902472</v>
      </c>
      <c r="AX106" s="162">
        <f t="shared" si="233"/>
        <v>0.15908643494902472</v>
      </c>
      <c r="AY106" s="162">
        <f t="shared" si="233"/>
        <v>0.15908643494902472</v>
      </c>
      <c r="AZ106" s="162">
        <f t="shared" si="233"/>
        <v>0.15908643494902472</v>
      </c>
      <c r="BA106" s="162">
        <f t="shared" si="233"/>
        <v>0.15908643494902472</v>
      </c>
      <c r="BB106" s="162">
        <f t="shared" si="233"/>
        <v>0.15908643494902472</v>
      </c>
      <c r="BC106" s="162">
        <f t="shared" si="233"/>
        <v>0.15908643494902472</v>
      </c>
      <c r="BD106" s="162">
        <f t="shared" si="233"/>
        <v>0.15908643494902472</v>
      </c>
      <c r="BE106" s="162">
        <f t="shared" si="233"/>
        <v>0.15908643494902472</v>
      </c>
      <c r="BF106" s="162">
        <f t="shared" si="233"/>
        <v>0.15908643494902472</v>
      </c>
      <c r="BG106" s="162">
        <f t="shared" si="233"/>
        <v>0.15908643494902472</v>
      </c>
      <c r="BH106" s="162">
        <f t="shared" si="233"/>
        <v>0.15908643494902472</v>
      </c>
      <c r="BI106" s="162">
        <f t="shared" si="233"/>
        <v>0.15908643494902472</v>
      </c>
      <c r="BJ106" s="162">
        <f t="shared" si="233"/>
        <v>0.15908643494902472</v>
      </c>
      <c r="BK106" s="162">
        <f t="shared" si="233"/>
        <v>0.15908643494902472</v>
      </c>
      <c r="BL106" s="162">
        <f t="shared" si="233"/>
        <v>0.15908643494902472</v>
      </c>
      <c r="BM106" s="162">
        <f t="shared" si="233"/>
        <v>0.15908643494902472</v>
      </c>
      <c r="BN106" s="162">
        <f t="shared" si="233"/>
        <v>0.15908643494902472</v>
      </c>
      <c r="BO106" s="162">
        <f t="shared" ref="BO106:CG106" si="234">(BO$40/(BO$10^2))*((PI()^2)/4)*(BO14*100/BO$39)*(((SIN(BO$36))^2)/(BO$5+BO$11*BO$6)^2)</f>
        <v>0.15908643494902472</v>
      </c>
      <c r="BP106" s="162">
        <f t="shared" si="234"/>
        <v>0.15908643494902472</v>
      </c>
      <c r="BQ106" s="162">
        <f t="shared" si="234"/>
        <v>0.15908643494902472</v>
      </c>
      <c r="BR106" s="162">
        <f t="shared" si="234"/>
        <v>0.15908643494902472</v>
      </c>
      <c r="BS106" s="162">
        <f t="shared" si="234"/>
        <v>0.15908643494902472</v>
      </c>
      <c r="BT106" s="162">
        <f t="shared" si="234"/>
        <v>0.15908643494902472</v>
      </c>
      <c r="BU106" s="162">
        <f t="shared" si="234"/>
        <v>0.15908643494902472</v>
      </c>
      <c r="BV106" s="162">
        <f t="shared" si="234"/>
        <v>0.15908643494902472</v>
      </c>
      <c r="BW106" s="162">
        <f t="shared" si="234"/>
        <v>0.15908643494902472</v>
      </c>
      <c r="BX106" s="162">
        <f t="shared" si="234"/>
        <v>0.15908643494902472</v>
      </c>
      <c r="BY106" s="162">
        <f t="shared" si="234"/>
        <v>0.15908643494902472</v>
      </c>
      <c r="BZ106" s="162">
        <f t="shared" si="234"/>
        <v>0.15908643494902472</v>
      </c>
      <c r="CA106" s="162">
        <f t="shared" si="234"/>
        <v>0.15908643494902472</v>
      </c>
      <c r="CB106" s="162">
        <f t="shared" si="234"/>
        <v>0.15908643494902472</v>
      </c>
      <c r="CC106" s="162">
        <f t="shared" si="234"/>
        <v>0.15908643494902472</v>
      </c>
      <c r="CD106" s="162">
        <f t="shared" si="234"/>
        <v>0.15908643494902472</v>
      </c>
      <c r="CE106" s="162">
        <f t="shared" si="234"/>
        <v>0.15908643494902472</v>
      </c>
      <c r="CF106" s="162">
        <f t="shared" si="234"/>
        <v>0.15908643494902472</v>
      </c>
      <c r="CG106" s="162">
        <f t="shared" si="234"/>
        <v>0.15908643494902472</v>
      </c>
      <c r="CH106" s="162"/>
    </row>
    <row r="107" spans="1:86" ht="16.5" customHeight="1">
      <c r="B107" s="162" t="s">
        <v>859</v>
      </c>
      <c r="C107" s="162">
        <f t="shared" ref="C107:AH107" si="235">(C$40/(C$10^2))*((PI()^2)/4)*(C15*100/C$39)*(((SIN(C$36))^2)/(C$5+C$11*C$6)^2)</f>
        <v>7.9543217474512359E-2</v>
      </c>
      <c r="D107" s="162">
        <f t="shared" si="235"/>
        <v>7.9543217474512359E-2</v>
      </c>
      <c r="E107" s="162">
        <f t="shared" si="235"/>
        <v>7.9543217474512359E-2</v>
      </c>
      <c r="F107" s="162">
        <f t="shared" si="235"/>
        <v>7.9543217474512359E-2</v>
      </c>
      <c r="G107" s="162">
        <f t="shared" si="235"/>
        <v>7.9543217474512359E-2</v>
      </c>
      <c r="H107" s="162">
        <f t="shared" si="235"/>
        <v>7.9543217474512359E-2</v>
      </c>
      <c r="I107" s="162">
        <f t="shared" si="235"/>
        <v>7.9543217474512359E-2</v>
      </c>
      <c r="J107" s="162">
        <f t="shared" si="235"/>
        <v>7.9543217474512359E-2</v>
      </c>
      <c r="K107" s="162">
        <f t="shared" si="235"/>
        <v>7.9543217474512359E-2</v>
      </c>
      <c r="L107" s="162">
        <f t="shared" si="235"/>
        <v>7.9543217474512359E-2</v>
      </c>
      <c r="M107" s="162">
        <f t="shared" si="235"/>
        <v>7.9543217474512359E-2</v>
      </c>
      <c r="N107" s="162">
        <f t="shared" si="235"/>
        <v>7.9543217474512359E-2</v>
      </c>
      <c r="O107" s="162">
        <f t="shared" si="235"/>
        <v>7.9543217474512359E-2</v>
      </c>
      <c r="P107" s="162">
        <f t="shared" si="235"/>
        <v>7.9543217474512359E-2</v>
      </c>
      <c r="Q107" s="162">
        <f t="shared" si="235"/>
        <v>7.9543217474512359E-2</v>
      </c>
      <c r="R107" s="162">
        <f t="shared" si="235"/>
        <v>7.9543217474512359E-2</v>
      </c>
      <c r="S107" s="162">
        <f t="shared" si="235"/>
        <v>7.9543217474512359E-2</v>
      </c>
      <c r="T107" s="162">
        <f t="shared" si="235"/>
        <v>7.9543217474512359E-2</v>
      </c>
      <c r="U107" s="162">
        <f t="shared" si="235"/>
        <v>7.9543217474512359E-2</v>
      </c>
      <c r="V107" s="162">
        <f t="shared" si="235"/>
        <v>7.9543217474512359E-2</v>
      </c>
      <c r="W107" s="162">
        <f t="shared" si="235"/>
        <v>7.9543217474512359E-2</v>
      </c>
      <c r="X107" s="162">
        <f t="shared" si="235"/>
        <v>7.9543217474512359E-2</v>
      </c>
      <c r="Y107" s="162">
        <f t="shared" si="235"/>
        <v>7.9543217474512359E-2</v>
      </c>
      <c r="Z107" s="162">
        <f t="shared" si="235"/>
        <v>7.9543217474512359E-2</v>
      </c>
      <c r="AA107" s="162">
        <f t="shared" si="235"/>
        <v>7.9543217474512359E-2</v>
      </c>
      <c r="AB107" s="162">
        <f t="shared" si="235"/>
        <v>7.9543217474512359E-2</v>
      </c>
      <c r="AC107" s="162">
        <f t="shared" si="235"/>
        <v>7.9543217474512359E-2</v>
      </c>
      <c r="AD107" s="162">
        <f t="shared" si="235"/>
        <v>7.9543217474512359E-2</v>
      </c>
      <c r="AE107" s="162">
        <f t="shared" si="235"/>
        <v>7.9543217474512359E-2</v>
      </c>
      <c r="AF107" s="162">
        <f t="shared" si="235"/>
        <v>7.9543217474512359E-2</v>
      </c>
      <c r="AG107" s="162">
        <f t="shared" si="235"/>
        <v>7.9543217474512359E-2</v>
      </c>
      <c r="AH107" s="162">
        <f t="shared" si="235"/>
        <v>7.9543217474512359E-2</v>
      </c>
      <c r="AI107" s="162">
        <f t="shared" ref="AI107:BN107" si="236">(AI$40/(AI$10^2))*((PI()^2)/4)*(AI15*100/AI$39)*(((SIN(AI$36))^2)/(AI$5+AI$11*AI$6)^2)</f>
        <v>7.9543217474512359E-2</v>
      </c>
      <c r="AJ107" s="162">
        <f t="shared" si="236"/>
        <v>7.9543217474512359E-2</v>
      </c>
      <c r="AK107" s="162">
        <f t="shared" si="236"/>
        <v>7.9543217474512359E-2</v>
      </c>
      <c r="AL107" s="162">
        <f t="shared" si="236"/>
        <v>7.9543217474512359E-2</v>
      </c>
      <c r="AM107" s="162">
        <f t="shared" si="236"/>
        <v>7.9543217474512359E-2</v>
      </c>
      <c r="AN107" s="162">
        <f t="shared" si="236"/>
        <v>7.9543217474512359E-2</v>
      </c>
      <c r="AO107" s="162">
        <f t="shared" si="236"/>
        <v>7.9543217474512359E-2</v>
      </c>
      <c r="AP107" s="162">
        <f t="shared" si="236"/>
        <v>7.9543217474512359E-2</v>
      </c>
      <c r="AQ107" s="162">
        <f t="shared" si="236"/>
        <v>7.9543217474512359E-2</v>
      </c>
      <c r="AR107" s="162">
        <f t="shared" si="236"/>
        <v>7.9543217474512359E-2</v>
      </c>
      <c r="AS107" s="162">
        <f t="shared" si="236"/>
        <v>7.9543217474512359E-2</v>
      </c>
      <c r="AT107" s="162">
        <f t="shared" si="236"/>
        <v>7.9543217474512359E-2</v>
      </c>
      <c r="AU107" s="162">
        <f t="shared" si="236"/>
        <v>7.9543217474512359E-2</v>
      </c>
      <c r="AV107" s="162">
        <f t="shared" si="236"/>
        <v>7.9543217474512359E-2</v>
      </c>
      <c r="AW107" s="162">
        <f t="shared" si="236"/>
        <v>7.9543217474512359E-2</v>
      </c>
      <c r="AX107" s="162">
        <f t="shared" si="236"/>
        <v>7.9543217474512359E-2</v>
      </c>
      <c r="AY107" s="162">
        <f t="shared" si="236"/>
        <v>7.9543217474512359E-2</v>
      </c>
      <c r="AZ107" s="162">
        <f t="shared" si="236"/>
        <v>7.9543217474512359E-2</v>
      </c>
      <c r="BA107" s="162">
        <f t="shared" si="236"/>
        <v>7.9543217474512359E-2</v>
      </c>
      <c r="BB107" s="162">
        <f t="shared" si="236"/>
        <v>7.9543217474512359E-2</v>
      </c>
      <c r="BC107" s="162">
        <f t="shared" si="236"/>
        <v>7.9543217474512359E-2</v>
      </c>
      <c r="BD107" s="162">
        <f t="shared" si="236"/>
        <v>7.9543217474512359E-2</v>
      </c>
      <c r="BE107" s="162">
        <f t="shared" si="236"/>
        <v>7.9543217474512359E-2</v>
      </c>
      <c r="BF107" s="162">
        <f t="shared" si="236"/>
        <v>7.9543217474512359E-2</v>
      </c>
      <c r="BG107" s="162">
        <f t="shared" si="236"/>
        <v>7.9543217474512359E-2</v>
      </c>
      <c r="BH107" s="162">
        <f t="shared" si="236"/>
        <v>7.9543217474512359E-2</v>
      </c>
      <c r="BI107" s="162">
        <f t="shared" si="236"/>
        <v>7.9543217474512359E-2</v>
      </c>
      <c r="BJ107" s="162">
        <f t="shared" si="236"/>
        <v>7.9543217474512359E-2</v>
      </c>
      <c r="BK107" s="162">
        <f t="shared" si="236"/>
        <v>7.9543217474512359E-2</v>
      </c>
      <c r="BL107" s="162">
        <f t="shared" si="236"/>
        <v>7.9543217474512359E-2</v>
      </c>
      <c r="BM107" s="162">
        <f t="shared" si="236"/>
        <v>7.9543217474512359E-2</v>
      </c>
      <c r="BN107" s="162">
        <f t="shared" si="236"/>
        <v>7.9543217474512359E-2</v>
      </c>
      <c r="BO107" s="162">
        <f t="shared" ref="BO107:CG107" si="237">(BO$40/(BO$10^2))*((PI()^2)/4)*(BO15*100/BO$39)*(((SIN(BO$36))^2)/(BO$5+BO$11*BO$6)^2)</f>
        <v>7.9543217474512359E-2</v>
      </c>
      <c r="BP107" s="162">
        <f t="shared" si="237"/>
        <v>7.9543217474512359E-2</v>
      </c>
      <c r="BQ107" s="162">
        <f t="shared" si="237"/>
        <v>7.9543217474512359E-2</v>
      </c>
      <c r="BR107" s="162">
        <f t="shared" si="237"/>
        <v>7.9543217474512359E-2</v>
      </c>
      <c r="BS107" s="162">
        <f t="shared" si="237"/>
        <v>7.9543217474512359E-2</v>
      </c>
      <c r="BT107" s="162">
        <f t="shared" si="237"/>
        <v>7.9543217474512359E-2</v>
      </c>
      <c r="BU107" s="162">
        <f t="shared" si="237"/>
        <v>7.9543217474512359E-2</v>
      </c>
      <c r="BV107" s="162">
        <f t="shared" si="237"/>
        <v>7.9543217474512359E-2</v>
      </c>
      <c r="BW107" s="162">
        <f t="shared" si="237"/>
        <v>7.9543217474512359E-2</v>
      </c>
      <c r="BX107" s="162">
        <f t="shared" si="237"/>
        <v>7.9543217474512359E-2</v>
      </c>
      <c r="BY107" s="162">
        <f t="shared" si="237"/>
        <v>7.9543217474512359E-2</v>
      </c>
      <c r="BZ107" s="162">
        <f t="shared" si="237"/>
        <v>7.9543217474512359E-2</v>
      </c>
      <c r="CA107" s="162">
        <f t="shared" si="237"/>
        <v>7.9543217474512359E-2</v>
      </c>
      <c r="CB107" s="162">
        <f t="shared" si="237"/>
        <v>7.9543217474512359E-2</v>
      </c>
      <c r="CC107" s="162">
        <f t="shared" si="237"/>
        <v>7.9543217474512359E-2</v>
      </c>
      <c r="CD107" s="162">
        <f t="shared" si="237"/>
        <v>7.9543217474512359E-2</v>
      </c>
      <c r="CE107" s="162">
        <f t="shared" si="237"/>
        <v>7.9543217474512359E-2</v>
      </c>
      <c r="CF107" s="162">
        <f t="shared" si="237"/>
        <v>7.9543217474512359E-2</v>
      </c>
      <c r="CG107" s="162">
        <f t="shared" si="237"/>
        <v>7.9543217474512359E-2</v>
      </c>
      <c r="CH107" s="162"/>
    </row>
    <row r="108" spans="1:86" ht="16.5" customHeight="1">
      <c r="B108" s="162" t="s">
        <v>860</v>
      </c>
      <c r="C108" s="162">
        <f t="shared" ref="C108:AH108" si="238">1/((1+(C$23*(1-(1/(C$25^2)))))^2+(C104*(C$25-(1/C$25)))^2)^0.5</f>
        <v>2.2187500658873382E-8</v>
      </c>
      <c r="D108" s="162">
        <f t="shared" si="238"/>
        <v>9.8485301445229586E-4</v>
      </c>
      <c r="E108" s="162">
        <f t="shared" si="238"/>
        <v>2.8141915561174426E-3</v>
      </c>
      <c r="F108" s="162">
        <f t="shared" si="238"/>
        <v>5.5973726225653541E-3</v>
      </c>
      <c r="G108" s="162">
        <f t="shared" si="238"/>
        <v>9.3555947185451141E-3</v>
      </c>
      <c r="H108" s="162">
        <f t="shared" si="238"/>
        <v>1.4117836702627711E-2</v>
      </c>
      <c r="I108" s="162">
        <f t="shared" si="238"/>
        <v>1.9921405454977066E-2</v>
      </c>
      <c r="J108" s="162">
        <f t="shared" si="238"/>
        <v>2.6812655667801551E-2</v>
      </c>
      <c r="K108" s="162">
        <f t="shared" si="238"/>
        <v>3.4847906847597733E-2</v>
      </c>
      <c r="L108" s="162">
        <f t="shared" si="238"/>
        <v>4.4094590399283935E-2</v>
      </c>
      <c r="M108" s="162">
        <f t="shared" si="238"/>
        <v>5.4632669241166637E-2</v>
      </c>
      <c r="N108" s="162">
        <f t="shared" si="238"/>
        <v>6.6556384368771038E-2</v>
      </c>
      <c r="O108" s="162">
        <f t="shared" si="238"/>
        <v>7.9976397913532143E-2</v>
      </c>
      <c r="P108" s="162">
        <f t="shared" si="238"/>
        <v>9.502242153292545E-2</v>
      </c>
      <c r="Q108" s="162">
        <f t="shared" si="238"/>
        <v>0.11184644373566215</v>
      </c>
      <c r="R108" s="162">
        <f t="shared" si="238"/>
        <v>0.13062670170568472</v>
      </c>
      <c r="S108" s="162">
        <f t="shared" si="238"/>
        <v>0.15157258456896436</v>
      </c>
      <c r="T108" s="162">
        <f t="shared" si="238"/>
        <v>0.17493070869487753</v>
      </c>
      <c r="U108" s="162">
        <f t="shared" si="238"/>
        <v>0.20099247508140472</v>
      </c>
      <c r="V108" s="162">
        <f t="shared" si="238"/>
        <v>0.23010350832604315</v>
      </c>
      <c r="W108" s="162">
        <f t="shared" si="238"/>
        <v>0.26267549057636225</v>
      </c>
      <c r="X108" s="162">
        <f t="shared" si="238"/>
        <v>0.29920104571574935</v>
      </c>
      <c r="Y108" s="162">
        <f t="shared" si="238"/>
        <v>0.34027249854372132</v>
      </c>
      <c r="Z108" s="162">
        <f t="shared" si="238"/>
        <v>0.38660551985480945</v>
      </c>
      <c r="AA108" s="162">
        <f t="shared" si="238"/>
        <v>0.4390688342660008</v>
      </c>
      <c r="AB108" s="162">
        <f t="shared" si="238"/>
        <v>0.49872121771323824</v>
      </c>
      <c r="AC108" s="162">
        <f t="shared" si="238"/>
        <v>0.56685672039518764</v>
      </c>
      <c r="AD108" s="162">
        <f t="shared" si="238"/>
        <v>0.64505791341853791</v>
      </c>
      <c r="AE108" s="162">
        <f t="shared" si="238"/>
        <v>0.73525387534525588</v>
      </c>
      <c r="AF108" s="162">
        <f t="shared" si="238"/>
        <v>0.83977228382931812</v>
      </c>
      <c r="AG108" s="162">
        <f t="shared" si="238"/>
        <v>0.9613586051226588</v>
      </c>
      <c r="AH108" s="162">
        <f t="shared" si="238"/>
        <v>1.103100839258299</v>
      </c>
      <c r="AI108" s="162">
        <f t="shared" ref="AI108:BN108" si="239">1/((1+(AI$23*(1-(1/(AI$25^2)))))^2+(AI104*(AI$25-(1/AI$25)))^2)^0.5</f>
        <v>1.2681301598192409</v>
      </c>
      <c r="AJ108" s="162">
        <f t="shared" si="239"/>
        <v>1.4588483497673264</v>
      </c>
      <c r="AK108" s="162">
        <f t="shared" si="239"/>
        <v>1.6752746302618819</v>
      </c>
      <c r="AL108" s="162">
        <f t="shared" si="239"/>
        <v>1.912069954854452</v>
      </c>
      <c r="AM108" s="162">
        <f t="shared" si="239"/>
        <v>2.1544526722035804</v>
      </c>
      <c r="AN108" s="162">
        <f t="shared" si="239"/>
        <v>2.3755039573408956</v>
      </c>
      <c r="AO108" s="162">
        <f t="shared" si="239"/>
        <v>2.5405256377648313</v>
      </c>
      <c r="AP108" s="162">
        <f t="shared" si="239"/>
        <v>2.596332080527775</v>
      </c>
      <c r="AQ108" s="162">
        <f t="shared" si="239"/>
        <v>2.627989774957499</v>
      </c>
      <c r="AR108" s="162">
        <f t="shared" si="239"/>
        <v>2.5790638536078525</v>
      </c>
      <c r="AS108" s="162">
        <f t="shared" si="239"/>
        <v>2.475765250294546</v>
      </c>
      <c r="AT108" s="162">
        <f t="shared" si="239"/>
        <v>2.3458282430391506</v>
      </c>
      <c r="AU108" s="162">
        <f t="shared" si="239"/>
        <v>2.2094669601996779</v>
      </c>
      <c r="AV108" s="162">
        <f t="shared" si="239"/>
        <v>2.0782824873700725</v>
      </c>
      <c r="AW108" s="162">
        <f t="shared" si="239"/>
        <v>1.9576326985266959</v>
      </c>
      <c r="AX108" s="162">
        <f t="shared" si="239"/>
        <v>1.8492204535674617</v>
      </c>
      <c r="AY108" s="162">
        <f t="shared" si="239"/>
        <v>1.7528916799717629</v>
      </c>
      <c r="AZ108" s="162">
        <f t="shared" si="239"/>
        <v>1.6676759465087614</v>
      </c>
      <c r="BA108" s="162">
        <f t="shared" si="239"/>
        <v>1.5923290222580235</v>
      </c>
      <c r="BB108" s="162">
        <f t="shared" si="239"/>
        <v>1.5255929921684372</v>
      </c>
      <c r="BC108" s="162">
        <f t="shared" si="239"/>
        <v>1.4663082478021907</v>
      </c>
      <c r="BD108" s="162">
        <f t="shared" si="239"/>
        <v>1.4134519509595289</v>
      </c>
      <c r="BE108" s="162">
        <f t="shared" si="239"/>
        <v>1.3661420409624823</v>
      </c>
      <c r="BF108" s="162">
        <f t="shared" si="239"/>
        <v>1.3236264948093288</v>
      </c>
      <c r="BG108" s="162">
        <f t="shared" si="239"/>
        <v>1.285267447447296</v>
      </c>
      <c r="BH108" s="162">
        <f t="shared" si="239"/>
        <v>1.2505246432316117</v>
      </c>
      <c r="BI108" s="162">
        <f t="shared" si="239"/>
        <v>1.2189401327203107</v>
      </c>
      <c r="BJ108" s="162">
        <f t="shared" si="239"/>
        <v>1.1901248884128413</v>
      </c>
      <c r="BK108" s="162">
        <f t="shared" si="239"/>
        <v>1.1637474358349409</v>
      </c>
      <c r="BL108" s="162">
        <f t="shared" si="239"/>
        <v>1.1395243486555815</v>
      </c>
      <c r="BM108" s="162">
        <f t="shared" si="239"/>
        <v>1.1172123688304811</v>
      </c>
      <c r="BN108" s="162">
        <f t="shared" si="239"/>
        <v>1.0966018997142886</v>
      </c>
      <c r="BO108" s="162">
        <f t="shared" ref="BO108:CG108" si="240">1/((1+(BO$23*(1-(1/(BO$25^2)))))^2+(BO104*(BO$25-(1/BO$25)))^2)^0.5</f>
        <v>1.0775116391540571</v>
      </c>
      <c r="BP108" s="162">
        <f t="shared" si="240"/>
        <v>1.0597841500518028</v>
      </c>
      <c r="BQ108" s="162">
        <f t="shared" si="240"/>
        <v>1.0432821980686571</v>
      </c>
      <c r="BR108" s="162">
        <f t="shared" si="240"/>
        <v>1.0278857158545507</v>
      </c>
      <c r="BS108" s="162">
        <f t="shared" si="240"/>
        <v>1.0134892789398935</v>
      </c>
      <c r="BT108" s="162">
        <f t="shared" si="240"/>
        <v>1</v>
      </c>
      <c r="BU108" s="162">
        <f t="shared" si="240"/>
        <v>0.88115983911680629</v>
      </c>
      <c r="BV108" s="162">
        <f t="shared" si="240"/>
        <v>0.81468073811458297</v>
      </c>
      <c r="BW108" s="162">
        <f t="shared" si="240"/>
        <v>0.77098072997612643</v>
      </c>
      <c r="BX108" s="162">
        <f t="shared" si="240"/>
        <v>0.73884480635708139</v>
      </c>
      <c r="BY108" s="162">
        <f t="shared" si="240"/>
        <v>0.7131965693655673</v>
      </c>
      <c r="BZ108" s="162">
        <f t="shared" si="240"/>
        <v>0.69145991082666902</v>
      </c>
      <c r="CA108" s="162">
        <f t="shared" si="240"/>
        <v>0.67222188892408774</v>
      </c>
      <c r="CB108" s="162">
        <f t="shared" si="240"/>
        <v>0.65466431727377372</v>
      </c>
      <c r="CC108" s="162">
        <f t="shared" si="240"/>
        <v>0.63829494665583164</v>
      </c>
      <c r="CD108" s="162">
        <f t="shared" si="240"/>
        <v>0.62280956930896869</v>
      </c>
      <c r="CE108" s="162">
        <f t="shared" si="240"/>
        <v>0.60801665070027744</v>
      </c>
      <c r="CF108" s="162">
        <f t="shared" si="240"/>
        <v>0.59379402431577666</v>
      </c>
      <c r="CG108" s="162">
        <f t="shared" si="240"/>
        <v>0.58006301128496207</v>
      </c>
      <c r="CH108" s="162"/>
    </row>
    <row r="109" spans="1:86" ht="16.5" customHeight="1">
      <c r="B109" s="162" t="s">
        <v>861</v>
      </c>
      <c r="C109" s="162">
        <f t="shared" ref="C109:AH109" si="241">1/((1+(C$23*(1-(1/(C$25^2)))))^2+(C105*(C$25-(1/C$25)))^2)^0.5</f>
        <v>2.2187500683061351E-8</v>
      </c>
      <c r="D109" s="162">
        <f t="shared" si="241"/>
        <v>9.849006953064972E-4</v>
      </c>
      <c r="E109" s="162">
        <f t="shared" si="241"/>
        <v>2.8145812418383953E-3</v>
      </c>
      <c r="F109" s="162">
        <f t="shared" si="241"/>
        <v>5.5989164322938897E-3</v>
      </c>
      <c r="G109" s="162">
        <f t="shared" si="241"/>
        <v>9.3599159121697442E-3</v>
      </c>
      <c r="H109" s="162">
        <f t="shared" si="241"/>
        <v>1.4127700802194739E-2</v>
      </c>
      <c r="I109" s="162">
        <f t="shared" si="241"/>
        <v>1.9941104951120836E-2</v>
      </c>
      <c r="J109" s="162">
        <f t="shared" si="241"/>
        <v>2.68484681177362E-2</v>
      </c>
      <c r="K109" s="162">
        <f t="shared" si="241"/>
        <v>3.4908651188488689E-2</v>
      </c>
      <c r="L109" s="162">
        <f t="shared" si="241"/>
        <v>4.4192313269354674E-2</v>
      </c>
      <c r="M109" s="162">
        <f t="shared" si="241"/>
        <v>5.4783502719552624E-2</v>
      </c>
      <c r="N109" s="162">
        <f t="shared" si="241"/>
        <v>6.6781629823724209E-2</v>
      </c>
      <c r="O109" s="162">
        <f t="shared" si="241"/>
        <v>8.0303909051546121E-2</v>
      </c>
      <c r="P109" s="162">
        <f t="shared" si="241"/>
        <v>9.5488385406768767E-2</v>
      </c>
      <c r="Q109" s="162">
        <f t="shared" si="241"/>
        <v>0.1124976945456609</v>
      </c>
      <c r="R109" s="162">
        <f t="shared" si="241"/>
        <v>0.13152375339784619</v>
      </c>
      <c r="S109" s="162">
        <f t="shared" si="241"/>
        <v>0.15279364153228964</v>
      </c>
      <c r="T109" s="162">
        <f t="shared" si="241"/>
        <v>0.17657701998339284</v>
      </c>
      <c r="U109" s="162">
        <f t="shared" si="241"/>
        <v>0.20319555298045652</v>
      </c>
      <c r="V109" s="162">
        <f t="shared" si="241"/>
        <v>0.23303496234375773</v>
      </c>
      <c r="W109" s="162">
        <f t="shared" si="241"/>
        <v>0.26656057339377198</v>
      </c>
      <c r="X109" s="162">
        <f t="shared" si="241"/>
        <v>0.30433753256472895</v>
      </c>
      <c r="Y109" s="162">
        <f t="shared" si="241"/>
        <v>0.34705732958532426</v>
      </c>
      <c r="Z109" s="162">
        <f t="shared" si="241"/>
        <v>0.3955728953287142</v>
      </c>
      <c r="AA109" s="162">
        <f t="shared" si="241"/>
        <v>0.45094544184848312</v>
      </c>
      <c r="AB109" s="162">
        <f t="shared" si="241"/>
        <v>0.51450744764003065</v>
      </c>
      <c r="AC109" s="162">
        <f t="shared" si="241"/>
        <v>0.58794783578384491</v>
      </c>
      <c r="AD109" s="162">
        <f t="shared" si="241"/>
        <v>0.67342739440417587</v>
      </c>
      <c r="AE109" s="162">
        <f t="shared" si="241"/>
        <v>0.77373437616577223</v>
      </c>
      <c r="AF109" s="162">
        <f t="shared" si="241"/>
        <v>0.89249023573858011</v>
      </c>
      <c r="AG109" s="162">
        <f t="shared" si="241"/>
        <v>1.0344082263555023</v>
      </c>
      <c r="AH109" s="162">
        <f t="shared" si="241"/>
        <v>1.2055776708458923</v>
      </c>
      <c r="AI109" s="162">
        <f t="shared" ref="AI109:BN109" si="242">1/((1+(AI$23*(1-(1/(AI$25^2)))))^2+(AI105*(AI$25-(1/AI$25)))^2)^0.5</f>
        <v>1.4136522783933134</v>
      </c>
      <c r="AJ109" s="162">
        <f t="shared" si="242"/>
        <v>1.6675553473391334</v>
      </c>
      <c r="AK109" s="162">
        <f t="shared" si="242"/>
        <v>1.975644455147177</v>
      </c>
      <c r="AL109" s="162">
        <f t="shared" si="242"/>
        <v>2.3399001043910461</v>
      </c>
      <c r="AM109" s="162">
        <f t="shared" si="242"/>
        <v>2.7423403235652533</v>
      </c>
      <c r="AN109" s="162">
        <f t="shared" si="242"/>
        <v>3.1247759333839795</v>
      </c>
      <c r="AO109" s="162">
        <f t="shared" si="242"/>
        <v>3.3873652120069995</v>
      </c>
      <c r="AP109" s="162">
        <f t="shared" si="242"/>
        <v>3.4474041866250285</v>
      </c>
      <c r="AQ109" s="162">
        <f t="shared" si="242"/>
        <v>3.3961745990581922</v>
      </c>
      <c r="AR109" s="162">
        <f t="shared" si="242"/>
        <v>3.1969481816235636</v>
      </c>
      <c r="AS109" s="162">
        <f t="shared" si="242"/>
        <v>2.9388870357191892</v>
      </c>
      <c r="AT109" s="162">
        <f t="shared" si="242"/>
        <v>2.681640128069982</v>
      </c>
      <c r="AU109" s="162">
        <f t="shared" si="242"/>
        <v>2.4507355935565496</v>
      </c>
      <c r="AV109" s="162">
        <f t="shared" si="242"/>
        <v>2.2522709043116098</v>
      </c>
      <c r="AW109" s="162">
        <f t="shared" si="242"/>
        <v>2.0843228075412807</v>
      </c>
      <c r="AX109" s="162">
        <f t="shared" si="242"/>
        <v>1.9425574958474034</v>
      </c>
      <c r="AY109" s="162">
        <f t="shared" si="242"/>
        <v>1.8224650772829212</v>
      </c>
      <c r="AZ109" s="162">
        <f t="shared" si="242"/>
        <v>1.7200903209246761</v>
      </c>
      <c r="BA109" s="162">
        <f t="shared" si="242"/>
        <v>1.632176803144727</v>
      </c>
      <c r="BB109" s="162">
        <f t="shared" si="242"/>
        <v>1.5561098946588816</v>
      </c>
      <c r="BC109" s="162">
        <f t="shared" si="242"/>
        <v>1.489807691340715</v>
      </c>
      <c r="BD109" s="162">
        <f t="shared" si="242"/>
        <v>1.4316127571711235</v>
      </c>
      <c r="BE109" s="162">
        <f t="shared" si="242"/>
        <v>1.3802003368620432</v>
      </c>
      <c r="BF109" s="162">
        <f t="shared" si="242"/>
        <v>1.3345051485700088</v>
      </c>
      <c r="BG109" s="162">
        <f t="shared" si="242"/>
        <v>1.2936645083407594</v>
      </c>
      <c r="BH109" s="162">
        <f t="shared" si="242"/>
        <v>1.2569745990393846</v>
      </c>
      <c r="BI109" s="162">
        <f t="shared" si="242"/>
        <v>1.223856922650389</v>
      </c>
      <c r="BJ109" s="162">
        <f t="shared" si="242"/>
        <v>1.1938325105789709</v>
      </c>
      <c r="BK109" s="162">
        <f t="shared" si="242"/>
        <v>1.1665020079562616</v>
      </c>
      <c r="BL109" s="162">
        <f t="shared" si="242"/>
        <v>1.14153020365793</v>
      </c>
      <c r="BM109" s="162">
        <f t="shared" si="242"/>
        <v>1.1186339346181491</v>
      </c>
      <c r="BN109" s="162">
        <f t="shared" si="242"/>
        <v>1.0975725633206461</v>
      </c>
      <c r="BO109" s="162">
        <f t="shared" ref="BO109:CG109" si="243">1/((1+(BO$23*(1-(1/(BO$25^2)))))^2+(BO105*(BO$25-(1/BO$25)))^2)^0.5</f>
        <v>1.0781404288956493</v>
      </c>
      <c r="BP109" s="162">
        <f t="shared" si="243"/>
        <v>1.0601608215731557</v>
      </c>
      <c r="BQ109" s="162">
        <f t="shared" si="243"/>
        <v>1.0434811407403344</v>
      </c>
      <c r="BR109" s="162">
        <f t="shared" si="243"/>
        <v>1.027968978773713</v>
      </c>
      <c r="BS109" s="162">
        <f t="shared" si="243"/>
        <v>1.0135089337833822</v>
      </c>
      <c r="BT109" s="162">
        <f t="shared" si="243"/>
        <v>1</v>
      </c>
      <c r="BU109" s="162">
        <f t="shared" si="243"/>
        <v>0.88292587716248183</v>
      </c>
      <c r="BV109" s="162">
        <f t="shared" si="243"/>
        <v>0.81962508058391115</v>
      </c>
      <c r="BW109" s="162">
        <f t="shared" si="243"/>
        <v>0.77955101470025123</v>
      </c>
      <c r="BX109" s="162">
        <f t="shared" si="243"/>
        <v>0.75126541693980986</v>
      </c>
      <c r="BY109" s="162">
        <f t="shared" si="243"/>
        <v>0.72959724537909454</v>
      </c>
      <c r="BZ109" s="162">
        <f t="shared" si="243"/>
        <v>0.71190650616748175</v>
      </c>
      <c r="CA109" s="162">
        <f t="shared" si="243"/>
        <v>0.69672719280698858</v>
      </c>
      <c r="CB109" s="162">
        <f t="shared" si="243"/>
        <v>0.68319460472539539</v>
      </c>
      <c r="CC109" s="162">
        <f t="shared" si="243"/>
        <v>0.67077581223864358</v>
      </c>
      <c r="CD109" s="162">
        <f t="shared" si="243"/>
        <v>0.65913176411253827</v>
      </c>
      <c r="CE109" s="162">
        <f t="shared" si="243"/>
        <v>0.64804192660667004</v>
      </c>
      <c r="CF109" s="162">
        <f t="shared" si="243"/>
        <v>0.63736082864738453</v>
      </c>
      <c r="CG109" s="162">
        <f t="shared" si="243"/>
        <v>0.62699187058343331</v>
      </c>
      <c r="CH109" s="162"/>
    </row>
    <row r="110" spans="1:86" ht="16.5" customHeight="1">
      <c r="B110" s="162" t="s">
        <v>862</v>
      </c>
      <c r="C110" s="162">
        <f t="shared" ref="C110:AH110" si="244">1/((1+(C$23*(1-(1/(C$25^2)))))^2+(C106*(C$25-(1/C$25)))^2)^0.5</f>
        <v>2.2187500700338477E-8</v>
      </c>
      <c r="D110" s="162">
        <f t="shared" si="244"/>
        <v>9.8493475729978367E-4</v>
      </c>
      <c r="E110" s="162">
        <f t="shared" si="244"/>
        <v>2.8148596879138282E-3</v>
      </c>
      <c r="F110" s="162">
        <f t="shared" si="244"/>
        <v>5.6000199359348309E-3</v>
      </c>
      <c r="G110" s="162">
        <f t="shared" si="244"/>
        <v>9.3630061475422719E-3</v>
      </c>
      <c r="H110" s="162">
        <f t="shared" si="244"/>
        <v>1.4134759259910513E-2</v>
      </c>
      <c r="I110" s="162">
        <f t="shared" si="244"/>
        <v>1.9955211853492229E-2</v>
      </c>
      <c r="J110" s="162">
        <f t="shared" si="244"/>
        <v>2.6874136474959991E-2</v>
      </c>
      <c r="K110" s="162">
        <f t="shared" si="244"/>
        <v>3.4952235004287555E-2</v>
      </c>
      <c r="L110" s="162">
        <f t="shared" si="244"/>
        <v>4.4262514457151417E-2</v>
      </c>
      <c r="M110" s="162">
        <f t="shared" si="244"/>
        <v>5.4892009023494538E-2</v>
      </c>
      <c r="N110" s="162">
        <f t="shared" si="244"/>
        <v>6.6943926824627367E-2</v>
      </c>
      <c r="O110" s="162">
        <f t="shared" si="244"/>
        <v>8.0540324459977525E-2</v>
      </c>
      <c r="P110" s="162">
        <f t="shared" si="244"/>
        <v>9.5825445211215929E-2</v>
      </c>
      <c r="Q110" s="162">
        <f t="shared" si="244"/>
        <v>0.11296990105663211</v>
      </c>
      <c r="R110" s="162">
        <f t="shared" si="244"/>
        <v>0.13217593916099565</v>
      </c>
      <c r="S110" s="162">
        <f t="shared" si="244"/>
        <v>0.15368411717889352</v>
      </c>
      <c r="T110" s="162">
        <f t="shared" si="244"/>
        <v>0.17778182882038857</v>
      </c>
      <c r="U110" s="162">
        <f t="shared" si="244"/>
        <v>0.20481428712074595</v>
      </c>
      <c r="V110" s="162">
        <f t="shared" si="244"/>
        <v>0.23519881126878214</v>
      </c>
      <c r="W110" s="162">
        <f t="shared" si="244"/>
        <v>0.26944361008891216</v>
      </c>
      <c r="X110" s="162">
        <f t="shared" si="244"/>
        <v>0.30817276852794812</v>
      </c>
      <c r="Y110" s="162">
        <f t="shared" si="244"/>
        <v>0.35215991403562907</v>
      </c>
      <c r="Z110" s="162">
        <f t="shared" si="244"/>
        <v>0.40237421557419933</v>
      </c>
      <c r="AA110" s="162">
        <f t="shared" si="244"/>
        <v>0.4600441931045689</v>
      </c>
      <c r="AB110" s="162">
        <f t="shared" si="244"/>
        <v>0.52674769790634179</v>
      </c>
      <c r="AC110" s="162">
        <f t="shared" si="244"/>
        <v>0.60454105530451652</v>
      </c>
      <c r="AD110" s="162">
        <f t="shared" si="244"/>
        <v>0.69614792006346315</v>
      </c>
      <c r="AE110" s="162">
        <f t="shared" si="244"/>
        <v>0.80524087889014173</v>
      </c>
      <c r="AF110" s="162">
        <f t="shared" si="244"/>
        <v>0.93686951275947361</v>
      </c>
      <c r="AG110" s="162">
        <f t="shared" si="244"/>
        <v>1.0981222501604018</v>
      </c>
      <c r="AH110" s="162">
        <f t="shared" si="244"/>
        <v>1.2991599680400314</v>
      </c>
      <c r="AI110" s="162">
        <f t="shared" ref="AI110:BN110" si="245">1/((1+(AI$23*(1-(1/(AI$25^2)))))^2+(AI106*(AI$25-(1/AI$25)))^2)^0.5</f>
        <v>1.5548157534228186</v>
      </c>
      <c r="AJ110" s="162">
        <f t="shared" si="245"/>
        <v>1.8869191189514538</v>
      </c>
      <c r="AK110" s="162">
        <f t="shared" si="245"/>
        <v>2.3268640443961885</v>
      </c>
      <c r="AL110" s="162">
        <f t="shared" si="245"/>
        <v>2.9144360407834338</v>
      </c>
      <c r="AM110" s="162">
        <f t="shared" si="245"/>
        <v>3.6744632912065973</v>
      </c>
      <c r="AN110" s="162">
        <f t="shared" si="245"/>
        <v>4.5180288456886482</v>
      </c>
      <c r="AO110" s="162">
        <f t="shared" si="245"/>
        <v>5.0810379394232061</v>
      </c>
      <c r="AP110" s="162">
        <f t="shared" si="245"/>
        <v>5.1109612062029326</v>
      </c>
      <c r="AQ110" s="162">
        <f t="shared" si="245"/>
        <v>4.7033915520154848</v>
      </c>
      <c r="AR110" s="162">
        <f t="shared" si="245"/>
        <v>4.0708143010254263</v>
      </c>
      <c r="AS110" s="162">
        <f t="shared" si="245"/>
        <v>3.4932975892721809</v>
      </c>
      <c r="AT110" s="162">
        <f t="shared" si="245"/>
        <v>3.0346902541570548</v>
      </c>
      <c r="AU110" s="162">
        <f t="shared" si="245"/>
        <v>2.6811853884839283</v>
      </c>
      <c r="AV110" s="162">
        <f t="shared" si="245"/>
        <v>2.4072320682235153</v>
      </c>
      <c r="AW110" s="162">
        <f t="shared" si="245"/>
        <v>2.1915278575730013</v>
      </c>
      <c r="AX110" s="162">
        <f t="shared" si="245"/>
        <v>2.018602511136764</v>
      </c>
      <c r="AY110" s="162">
        <f t="shared" si="245"/>
        <v>1.8775594430343145</v>
      </c>
      <c r="AZ110" s="162">
        <f t="shared" si="245"/>
        <v>1.7607073404668594</v>
      </c>
      <c r="BA110" s="162">
        <f t="shared" si="245"/>
        <v>1.662543757192509</v>
      </c>
      <c r="BB110" s="162">
        <f t="shared" si="245"/>
        <v>1.5790641766529949</v>
      </c>
      <c r="BC110" s="162">
        <f t="shared" si="245"/>
        <v>1.5073020647343729</v>
      </c>
      <c r="BD110" s="162">
        <f t="shared" si="245"/>
        <v>1.4450219084763885</v>
      </c>
      <c r="BE110" s="162">
        <f t="shared" si="245"/>
        <v>1.3905119264582848</v>
      </c>
      <c r="BF110" s="162">
        <f t="shared" si="245"/>
        <v>1.3424419209967631</v>
      </c>
      <c r="BG110" s="162">
        <f t="shared" si="245"/>
        <v>1.2997641869874288</v>
      </c>
      <c r="BH110" s="162">
        <f t="shared" si="245"/>
        <v>1.2616432981990255</v>
      </c>
      <c r="BI110" s="162">
        <f t="shared" si="245"/>
        <v>1.227405568111432</v>
      </c>
      <c r="BJ110" s="162">
        <f t="shared" si="245"/>
        <v>1.1965021284180162</v>
      </c>
      <c r="BK110" s="162">
        <f t="shared" si="245"/>
        <v>1.1684815783900475</v>
      </c>
      <c r="BL110" s="162">
        <f t="shared" si="245"/>
        <v>1.142969459852047</v>
      </c>
      <c r="BM110" s="162">
        <f t="shared" si="245"/>
        <v>1.1196526675509908</v>
      </c>
      <c r="BN110" s="162">
        <f t="shared" si="245"/>
        <v>1.0982674747010361</v>
      </c>
      <c r="BO110" s="162">
        <f t="shared" ref="BO110:CG110" si="246">1/((1+(BO$23*(1-(1/(BO$25^2)))))^2+(BO106*(BO$25-(1/BO$25)))^2)^0.5</f>
        <v>1.0785902389871262</v>
      </c>
      <c r="BP110" s="162">
        <f t="shared" si="246"/>
        <v>1.0604301186908529</v>
      </c>
      <c r="BQ110" s="162">
        <f t="shared" si="246"/>
        <v>1.0436233123477057</v>
      </c>
      <c r="BR110" s="162">
        <f t="shared" si="246"/>
        <v>1.0280284646770341</v>
      </c>
      <c r="BS110" s="162">
        <f t="shared" si="246"/>
        <v>1.0135229736574336</v>
      </c>
      <c r="BT110" s="162">
        <f t="shared" si="246"/>
        <v>1</v>
      </c>
      <c r="BU110" s="162">
        <f t="shared" si="246"/>
        <v>0.8841938540015104</v>
      </c>
      <c r="BV110" s="162">
        <f t="shared" si="246"/>
        <v>0.823212384167885</v>
      </c>
      <c r="BW110" s="162">
        <f t="shared" si="246"/>
        <v>0.78585064507277191</v>
      </c>
      <c r="BX110" s="162">
        <f t="shared" si="246"/>
        <v>0.76053088333740138</v>
      </c>
      <c r="BY110" s="162">
        <f t="shared" si="246"/>
        <v>0.74202991897912784</v>
      </c>
      <c r="BZ110" s="162">
        <f t="shared" si="246"/>
        <v>0.72767419220991192</v>
      </c>
      <c r="CA110" s="162">
        <f t="shared" si="246"/>
        <v>0.71596843944997612</v>
      </c>
      <c r="CB110" s="162">
        <f t="shared" si="246"/>
        <v>0.70601985922899657</v>
      </c>
      <c r="CC110" s="162">
        <f t="shared" si="246"/>
        <v>0.69726809741755791</v>
      </c>
      <c r="CD110" s="162">
        <f t="shared" si="246"/>
        <v>0.68934754512369922</v>
      </c>
      <c r="CE110" s="162">
        <f t="shared" si="246"/>
        <v>0.68201229940551977</v>
      </c>
      <c r="CF110" s="162">
        <f t="shared" si="246"/>
        <v>0.67509300785337512</v>
      </c>
      <c r="CG110" s="162">
        <f t="shared" si="246"/>
        <v>0.66847091301282946</v>
      </c>
      <c r="CH110" s="162"/>
    </row>
    <row r="111" spans="1:86" ht="16.5" customHeight="1">
      <c r="B111" s="162" t="s">
        <v>863</v>
      </c>
      <c r="C111" s="162">
        <f t="shared" ref="C111:AH111" si="247">1/((1+(C$23*(1-(1/(C$25^2)))))^2+(C107*(C$25-(1/C$25)))^2)^0.5</f>
        <v>2.2187500710704751E-8</v>
      </c>
      <c r="D111" s="162">
        <f t="shared" si="247"/>
        <v>9.8495519619216324E-4</v>
      </c>
      <c r="E111" s="162">
        <f t="shared" si="247"/>
        <v>2.8150267952314618E-3</v>
      </c>
      <c r="F111" s="162">
        <f t="shared" si="247"/>
        <v>5.6006823513903934E-3</v>
      </c>
      <c r="G111" s="162">
        <f t="shared" si="247"/>
        <v>9.3648617585882724E-3</v>
      </c>
      <c r="H111" s="162">
        <f t="shared" si="247"/>
        <v>1.4138999416134937E-2</v>
      </c>
      <c r="I111" s="162">
        <f t="shared" si="247"/>
        <v>1.9963690379138997E-2</v>
      </c>
      <c r="J111" s="162">
        <f t="shared" si="247"/>
        <v>2.6889572872167717E-2</v>
      </c>
      <c r="K111" s="162">
        <f t="shared" si="247"/>
        <v>3.4978463781810375E-2</v>
      </c>
      <c r="L111" s="162">
        <f t="shared" si="247"/>
        <v>4.4304796095577109E-2</v>
      </c>
      <c r="M111" s="162">
        <f t="shared" si="247"/>
        <v>5.4957423098231255E-2</v>
      </c>
      <c r="N111" s="162">
        <f t="shared" si="247"/>
        <v>6.7041874843055321E-2</v>
      </c>
      <c r="O111" s="162">
        <f t="shared" si="247"/>
        <v>8.0683179907920746E-2</v>
      </c>
      <c r="P111" s="162">
        <f t="shared" si="247"/>
        <v>9.6029402466193667E-2</v>
      </c>
      <c r="Q111" s="162">
        <f t="shared" si="247"/>
        <v>0.11325609521768325</v>
      </c>
      <c r="R111" s="162">
        <f t="shared" si="247"/>
        <v>0.13257193855929073</v>
      </c>
      <c r="S111" s="162">
        <f t="shared" si="247"/>
        <v>0.15422593420697631</v>
      </c>
      <c r="T111" s="162">
        <f t="shared" si="247"/>
        <v>0.17851666044272152</v>
      </c>
      <c r="U111" s="162">
        <f t="shared" si="247"/>
        <v>0.20580429645539597</v>
      </c>
      <c r="V111" s="162">
        <f t="shared" si="247"/>
        <v>0.23652641650649184</v>
      </c>
      <c r="W111" s="162">
        <f t="shared" si="247"/>
        <v>0.27121899136500155</v>
      </c>
      <c r="X111" s="162">
        <f t="shared" si="247"/>
        <v>0.31054469687236774</v>
      </c>
      <c r="Y111" s="162">
        <f t="shared" si="247"/>
        <v>0.35533165468326094</v>
      </c>
      <c r="Z111" s="162">
        <f t="shared" si="247"/>
        <v>0.40662735229089125</v>
      </c>
      <c r="AA111" s="162">
        <f t="shared" si="247"/>
        <v>0.4657751192418001</v>
      </c>
      <c r="AB111" s="162">
        <f t="shared" si="247"/>
        <v>0.5345249169101981</v>
      </c>
      <c r="AC111" s="162">
        <f t="shared" si="247"/>
        <v>0.61519771904283727</v>
      </c>
      <c r="AD111" s="162">
        <f t="shared" si="247"/>
        <v>0.71093611280797075</v>
      </c>
      <c r="AE111" s="162">
        <f t="shared" si="247"/>
        <v>0.82609837828438526</v>
      </c>
      <c r="AF111" s="162">
        <f t="shared" si="247"/>
        <v>0.96690072651269632</v>
      </c>
      <c r="AG111" s="162">
        <f t="shared" si="247"/>
        <v>1.142508254098316</v>
      </c>
      <c r="AH111" s="162">
        <f t="shared" si="247"/>
        <v>1.3669800317854319</v>
      </c>
      <c r="AI111" s="162">
        <f t="shared" ref="AI111:BN111" si="248">1/((1+(AI$23*(1-(1/(AI$25^2)))))^2+(AI107*(AI$25-(1/AI$25)))^2)^0.5</f>
        <v>1.6629393834906567</v>
      </c>
      <c r="AJ111" s="162">
        <f t="shared" si="248"/>
        <v>2.0689712193066256</v>
      </c>
      <c r="AK111" s="162">
        <f t="shared" si="248"/>
        <v>2.6556629720063727</v>
      </c>
      <c r="AL111" s="162">
        <f t="shared" si="248"/>
        <v>3.562730983116241</v>
      </c>
      <c r="AM111" s="162">
        <f t="shared" si="248"/>
        <v>5.0819004932809255</v>
      </c>
      <c r="AN111" s="162">
        <f t="shared" si="248"/>
        <v>7.6845345836029564</v>
      </c>
      <c r="AO111" s="162">
        <f t="shared" si="248"/>
        <v>10.161969192094899</v>
      </c>
      <c r="AP111" s="162">
        <f t="shared" si="248"/>
        <v>9.637817099293926</v>
      </c>
      <c r="AQ111" s="162">
        <f t="shared" si="248"/>
        <v>7.0175113610280446</v>
      </c>
      <c r="AR111" s="162">
        <f t="shared" si="248"/>
        <v>5.1403544012034015</v>
      </c>
      <c r="AS111" s="162">
        <f t="shared" si="248"/>
        <v>4.0276172702504764</v>
      </c>
      <c r="AT111" s="162">
        <f t="shared" si="248"/>
        <v>3.3277697417174541</v>
      </c>
      <c r="AU111" s="162">
        <f t="shared" si="248"/>
        <v>2.8551452333825154</v>
      </c>
      <c r="AV111" s="162">
        <f t="shared" si="248"/>
        <v>2.5171149142077254</v>
      </c>
      <c r="AW111" s="162">
        <f t="shared" si="248"/>
        <v>2.264376326696298</v>
      </c>
      <c r="AX111" s="162">
        <f t="shared" si="248"/>
        <v>2.0687525592238192</v>
      </c>
      <c r="AY111" s="162">
        <f t="shared" si="248"/>
        <v>1.9131152350154008</v>
      </c>
      <c r="AZ111" s="162">
        <f t="shared" si="248"/>
        <v>1.7865035766361688</v>
      </c>
      <c r="BA111" s="162">
        <f t="shared" si="248"/>
        <v>1.6815982078308866</v>
      </c>
      <c r="BB111" s="162">
        <f t="shared" si="248"/>
        <v>1.5933341149723022</v>
      </c>
      <c r="BC111" s="162">
        <f t="shared" si="248"/>
        <v>1.5180992161293732</v>
      </c>
      <c r="BD111" s="162">
        <f t="shared" si="248"/>
        <v>1.4532505456252056</v>
      </c>
      <c r="BE111" s="162">
        <f t="shared" si="248"/>
        <v>1.3968109323311331</v>
      </c>
      <c r="BF111" s="162">
        <f t="shared" si="248"/>
        <v>1.3472724998288792</v>
      </c>
      <c r="BG111" s="162">
        <f t="shared" si="248"/>
        <v>1.3034656709274861</v>
      </c>
      <c r="BH111" s="162">
        <f t="shared" si="248"/>
        <v>1.2644696125106172</v>
      </c>
      <c r="BI111" s="162">
        <f t="shared" si="248"/>
        <v>1.2295496297868329</v>
      </c>
      <c r="BJ111" s="162">
        <f t="shared" si="248"/>
        <v>1.1981125212430315</v>
      </c>
      <c r="BK111" s="162">
        <f t="shared" si="248"/>
        <v>1.1696741690982082</v>
      </c>
      <c r="BL111" s="162">
        <f t="shared" si="248"/>
        <v>1.1438356310403384</v>
      </c>
      <c r="BM111" s="162">
        <f t="shared" si="248"/>
        <v>1.120265244900249</v>
      </c>
      <c r="BN111" s="162">
        <f t="shared" si="248"/>
        <v>1.0986850556250742</v>
      </c>
      <c r="BO111" s="162">
        <f t="shared" ref="BO111:CG111" si="249">1/((1+(BO$23*(1-(1/(BO$25^2)))))^2+(BO107*(BO$25-(1/BO$25)))^2)^0.5</f>
        <v>1.0788603954298839</v>
      </c>
      <c r="BP111" s="162">
        <f t="shared" si="249"/>
        <v>1.0605917954989095</v>
      </c>
      <c r="BQ111" s="162">
        <f t="shared" si="249"/>
        <v>1.0437086432107368</v>
      </c>
      <c r="BR111" s="162">
        <f t="shared" si="249"/>
        <v>1.0280641611763144</v>
      </c>
      <c r="BS111" s="162">
        <f t="shared" si="249"/>
        <v>1.0135313978619362</v>
      </c>
      <c r="BT111" s="162">
        <f t="shared" si="249"/>
        <v>1</v>
      </c>
      <c r="BU111" s="162">
        <f t="shared" si="249"/>
        <v>0.88495726730590507</v>
      </c>
      <c r="BV111" s="162">
        <f t="shared" si="249"/>
        <v>0.82538750815483564</v>
      </c>
      <c r="BW111" s="162">
        <f t="shared" si="249"/>
        <v>0.78970452933181534</v>
      </c>
      <c r="BX111" s="162">
        <f t="shared" si="249"/>
        <v>0.76625746714637877</v>
      </c>
      <c r="BY111" s="162">
        <f t="shared" si="249"/>
        <v>0.74980169428247168</v>
      </c>
      <c r="BZ111" s="162">
        <f t="shared" si="249"/>
        <v>0.73765300621616869</v>
      </c>
      <c r="CA111" s="162">
        <f t="shared" si="249"/>
        <v>0.72830764080013843</v>
      </c>
      <c r="CB111" s="162">
        <f t="shared" si="249"/>
        <v>0.72086436340017956</v>
      </c>
      <c r="CC111" s="162">
        <f t="shared" si="249"/>
        <v>0.71475398171149873</v>
      </c>
      <c r="CD111" s="162">
        <f t="shared" si="249"/>
        <v>0.70960160692004326</v>
      </c>
      <c r="CE111" s="162">
        <f t="shared" si="249"/>
        <v>0.70515169452910476</v>
      </c>
      <c r="CF111" s="162">
        <f t="shared" si="249"/>
        <v>0.70122499419709017</v>
      </c>
      <c r="CG111" s="162">
        <f t="shared" si="249"/>
        <v>0.69769269761009001</v>
      </c>
      <c r="CH111" s="162"/>
    </row>
    <row r="113" spans="2:90" ht="17.25" customHeight="1"/>
    <row r="114" spans="2:90" ht="16.5" customHeight="1">
      <c r="B114" s="166" t="s">
        <v>864</v>
      </c>
      <c r="C114" s="166">
        <f t="shared" ref="C114:AH114" si="250">ABS(C99-C53)</f>
        <v>1.0167142635267854</v>
      </c>
      <c r="D114" s="166">
        <f t="shared" si="250"/>
        <v>1.0157297594678187</v>
      </c>
      <c r="E114" s="166">
        <f t="shared" si="250"/>
        <v>1.0139027619356356</v>
      </c>
      <c r="F114" s="166">
        <f t="shared" si="250"/>
        <v>1.0111274649248454</v>
      </c>
      <c r="G114" s="166">
        <f t="shared" si="250"/>
        <v>1.0073881616824094</v>
      </c>
      <c r="H114" s="166">
        <f t="shared" si="250"/>
        <v>1.0026635364841883</v>
      </c>
      <c r="I114" s="166">
        <f t="shared" si="250"/>
        <v>0.99692640782057895</v>
      </c>
      <c r="J114" s="166">
        <f t="shared" si="250"/>
        <v>0.99014340017868241</v>
      </c>
      <c r="K114" s="166">
        <f t="shared" si="250"/>
        <v>0.98227454028128702</v>
      </c>
      <c r="L114" s="166">
        <f t="shared" si="250"/>
        <v>0.9732727730758679</v>
      </c>
      <c r="M114" s="166">
        <f t="shared" si="250"/>
        <v>0.96308339245374264</v>
      </c>
      <c r="N114" s="166">
        <f t="shared" si="250"/>
        <v>0.95164338177363916</v>
      </c>
      <c r="O114" s="166">
        <f t="shared" si="250"/>
        <v>0.93888065999644599</v>
      </c>
      <c r="P114" s="166">
        <f t="shared" si="250"/>
        <v>0.92471323095366442</v>
      </c>
      <c r="Q114" s="166">
        <f t="shared" si="250"/>
        <v>0.90904823648026123</v>
      </c>
      <c r="R114" s="166">
        <f t="shared" si="250"/>
        <v>0.89178091958873074</v>
      </c>
      <c r="S114" s="166">
        <f t="shared" si="250"/>
        <v>0.87279351262795479</v>
      </c>
      <c r="T114" s="166">
        <f t="shared" si="250"/>
        <v>0.85195407901705122</v>
      </c>
      <c r="U114" s="166">
        <f t="shared" si="250"/>
        <v>0.82911535789407598</v>
      </c>
      <c r="V114" s="166">
        <f t="shared" si="250"/>
        <v>0.804113692003253</v>
      </c>
      <c r="W114" s="166">
        <f t="shared" si="250"/>
        <v>0.77676816469948551</v>
      </c>
      <c r="X114" s="166">
        <f t="shared" si="250"/>
        <v>0.74688013794471031</v>
      </c>
      <c r="Y114" s="166">
        <f t="shared" si="250"/>
        <v>0.71423347728125974</v>
      </c>
      <c r="Z114" s="166">
        <f t="shared" si="250"/>
        <v>0.67859588149426719</v>
      </c>
      <c r="AA114" s="166">
        <f t="shared" si="250"/>
        <v>0.6397219147080011</v>
      </c>
      <c r="AB114" s="166">
        <f t="shared" si="250"/>
        <v>0.5973585767777686</v>
      </c>
      <c r="AC114" s="166">
        <f t="shared" si="250"/>
        <v>0.55125454791284967</v>
      </c>
      <c r="AD114" s="166">
        <f t="shared" si="250"/>
        <v>0.5011745932357009</v>
      </c>
      <c r="AE114" s="166">
        <f t="shared" si="250"/>
        <v>0.44692096523816127</v>
      </c>
      <c r="AF114" s="166">
        <f t="shared" si="250"/>
        <v>0.38836388364400887</v>
      </c>
      <c r="AG114" s="166">
        <f t="shared" si="250"/>
        <v>0.32548307964989243</v>
      </c>
      <c r="AH114" s="166">
        <f t="shared" si="250"/>
        <v>0.2584215834365059</v>
      </c>
      <c r="AI114" s="166">
        <f t="shared" ref="AI114:BN114" si="251">ABS(AI99-AI53)</f>
        <v>0.18755085437377117</v>
      </c>
      <c r="AJ114" s="166">
        <f t="shared" si="251"/>
        <v>0.11354236974216148</v>
      </c>
      <c r="AK114" s="166">
        <f t="shared" si="251"/>
        <v>3.7434538197532508E-2</v>
      </c>
      <c r="AL114" s="166">
        <f t="shared" si="251"/>
        <v>3.9324077519468537E-2</v>
      </c>
      <c r="AM114" s="166">
        <f t="shared" si="251"/>
        <v>0.11488113475103723</v>
      </c>
      <c r="AN114" s="166">
        <f t="shared" si="251"/>
        <v>0.1870631411720558</v>
      </c>
      <c r="AO114" s="166">
        <f t="shared" si="251"/>
        <v>0.25354936667888484</v>
      </c>
      <c r="AP114" s="166">
        <f t="shared" si="251"/>
        <v>0.28671310123715199</v>
      </c>
      <c r="AQ114" s="166">
        <f t="shared" si="251"/>
        <v>0.34015264672909518</v>
      </c>
      <c r="AR114" s="166">
        <f t="shared" si="251"/>
        <v>0.38312074559184772</v>
      </c>
      <c r="AS114" s="166">
        <f t="shared" si="251"/>
        <v>0.41484914998934919</v>
      </c>
      <c r="AT114" s="166">
        <f t="shared" si="251"/>
        <v>0.43535639852004882</v>
      </c>
      <c r="AU114" s="166">
        <f t="shared" si="251"/>
        <v>0.44536230098298835</v>
      </c>
      <c r="AV114" s="166">
        <f t="shared" si="251"/>
        <v>0.44609944855777517</v>
      </c>
      <c r="AW114" s="166">
        <f t="shared" si="251"/>
        <v>0.43908526178491769</v>
      </c>
      <c r="AX114" s="166">
        <f t="shared" si="251"/>
        <v>0.42591245842459835</v>
      </c>
      <c r="AY114" s="166">
        <f t="shared" si="251"/>
        <v>0.4080922819771422</v>
      </c>
      <c r="AZ114" s="166">
        <f t="shared" si="251"/>
        <v>0.38695942251250282</v>
      </c>
      <c r="BA114" s="166">
        <f t="shared" si="251"/>
        <v>0.36363032802056661</v>
      </c>
      <c r="BB114" s="166">
        <f t="shared" si="251"/>
        <v>0.33899943956266498</v>
      </c>
      <c r="BC114" s="166">
        <f t="shared" si="251"/>
        <v>0.31375791110080464</v>
      </c>
      <c r="BD114" s="166">
        <f t="shared" si="251"/>
        <v>0.28842280301257328</v>
      </c>
      <c r="BE114" s="166">
        <f t="shared" si="251"/>
        <v>0.26336884358901624</v>
      </c>
      <c r="BF114" s="166">
        <f t="shared" si="251"/>
        <v>0.23885829456537833</v>
      </c>
      <c r="BG114" s="166">
        <f t="shared" si="251"/>
        <v>0.21506686101401673</v>
      </c>
      <c r="BH114" s="166">
        <f t="shared" si="251"/>
        <v>0.19210505582618786</v>
      </c>
      <c r="BI114" s="166">
        <f t="shared" si="251"/>
        <v>0.17003521810721267</v>
      </c>
      <c r="BJ114" s="166">
        <f t="shared" si="251"/>
        <v>0.14888473874909081</v>
      </c>
      <c r="BK114" s="166">
        <f t="shared" si="251"/>
        <v>0.12865615025663968</v>
      </c>
      <c r="BL114" s="166">
        <f t="shared" si="251"/>
        <v>0.10933471332111822</v>
      </c>
      <c r="BM114" s="166">
        <f t="shared" si="251"/>
        <v>9.0894052374939971E-2</v>
      </c>
      <c r="BN114" s="166">
        <f t="shared" si="251"/>
        <v>7.3300296227579498E-2</v>
      </c>
      <c r="BO114" s="166">
        <f t="shared" ref="BO114:CG114" si="252">ABS(BO99-BO53)</f>
        <v>5.6515087539571907E-2</v>
      </c>
      <c r="BP114" s="166">
        <f t="shared" si="252"/>
        <v>4.0497744562718596E-2</v>
      </c>
      <c r="BQ114" s="166">
        <f t="shared" si="252"/>
        <v>2.5206792458490002E-2</v>
      </c>
      <c r="BR114" s="166">
        <f t="shared" si="252"/>
        <v>1.0601028922596623E-2</v>
      </c>
      <c r="BS114" s="166">
        <f t="shared" si="252"/>
        <v>3.3597520467987252E-3</v>
      </c>
      <c r="BT114" s="166">
        <f t="shared" si="252"/>
        <v>1.6714285714285904E-2</v>
      </c>
      <c r="BU114" s="166">
        <f t="shared" si="252"/>
        <v>0.14738549622421848</v>
      </c>
      <c r="BV114" s="166">
        <f t="shared" si="252"/>
        <v>0.23368630489874198</v>
      </c>
      <c r="BW114" s="166">
        <f t="shared" si="252"/>
        <v>0.2977536435634015</v>
      </c>
      <c r="BX114" s="166">
        <f t="shared" si="252"/>
        <v>0.34912479621741477</v>
      </c>
      <c r="BY114" s="166">
        <f t="shared" si="252"/>
        <v>0.39235580602645159</v>
      </c>
      <c r="BZ114" s="166">
        <f t="shared" si="252"/>
        <v>0.42985192487043544</v>
      </c>
      <c r="CA114" s="166">
        <f t="shared" si="252"/>
        <v>0.46300460011544597</v>
      </c>
      <c r="CB114" s="166">
        <f t="shared" si="252"/>
        <v>0.49268962638325731</v>
      </c>
      <c r="CC114" s="166">
        <f t="shared" si="252"/>
        <v>0.51950183823877705</v>
      </c>
      <c r="CD114" s="166">
        <f t="shared" si="252"/>
        <v>0.5438725676663696</v>
      </c>
      <c r="CE114" s="166">
        <f t="shared" si="252"/>
        <v>0.56613163838927927</v>
      </c>
      <c r="CF114" s="166">
        <f t="shared" si="252"/>
        <v>0.58654177159683885</v>
      </c>
      <c r="CG114" s="166">
        <f t="shared" si="252"/>
        <v>0.60531866421908997</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0.49931539694054067</v>
      </c>
      <c r="AL115" s="166">
        <f t="shared" si="254"/>
        <v>0.51380815056372908</v>
      </c>
      <c r="AM115" s="166">
        <f t="shared" si="254"/>
        <v>0</v>
      </c>
      <c r="AN115" s="166">
        <f t="shared" si="254"/>
        <v>0</v>
      </c>
      <c r="AO115" s="166">
        <f t="shared" si="254"/>
        <v>0</v>
      </c>
      <c r="AP115" s="166">
        <f t="shared" si="254"/>
        <v>0</v>
      </c>
      <c r="AQ115" s="166">
        <f t="shared" si="254"/>
        <v>0</v>
      </c>
      <c r="AR115" s="166">
        <f t="shared" si="254"/>
        <v>0</v>
      </c>
      <c r="AS115" s="166">
        <f t="shared" si="254"/>
        <v>0</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v>
      </c>
      <c r="BH115" s="166">
        <f t="shared" si="254"/>
        <v>0</v>
      </c>
      <c r="BI115" s="166">
        <f t="shared" si="254"/>
        <v>0</v>
      </c>
      <c r="BJ115" s="166">
        <f t="shared" si="254"/>
        <v>0</v>
      </c>
      <c r="BK115" s="166">
        <f t="shared" si="254"/>
        <v>0</v>
      </c>
      <c r="BL115" s="166">
        <f t="shared" si="254"/>
        <v>0</v>
      </c>
      <c r="BM115" s="166">
        <f t="shared" si="254"/>
        <v>0</v>
      </c>
      <c r="BN115" s="166">
        <f t="shared" si="254"/>
        <v>0</v>
      </c>
      <c r="BO115" s="166">
        <f t="shared" ref="BO115:CG115" si="255">IF(BO114&lt;0.05,BO25,0)</f>
        <v>0</v>
      </c>
      <c r="BP115" s="166">
        <f t="shared" si="255"/>
        <v>0.94202898550724656</v>
      </c>
      <c r="BQ115" s="166">
        <f t="shared" si="255"/>
        <v>0.95652173913043492</v>
      </c>
      <c r="BR115" s="166">
        <f t="shared" si="255"/>
        <v>0.97101449275362328</v>
      </c>
      <c r="BS115" s="166">
        <f t="shared" si="255"/>
        <v>0.98550724637681164</v>
      </c>
      <c r="BT115" s="166">
        <f t="shared" si="255"/>
        <v>1</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1</v>
      </c>
      <c r="CJ115" s="169">
        <f>SUM(CI115:CI121)/4</f>
        <v>1</v>
      </c>
      <c r="CK115" s="21">
        <f>CJ115*'Design Spec'!D102</f>
        <v>150</v>
      </c>
      <c r="CL115" s="37" t="s">
        <v>187</v>
      </c>
    </row>
    <row r="116" spans="2:90" ht="16.5" customHeight="1">
      <c r="B116" s="166" t="s">
        <v>868</v>
      </c>
      <c r="C116" s="166">
        <f t="shared" ref="C116:AH116" si="256">ABS(C100-C53)</f>
        <v>1.0167142635267854</v>
      </c>
      <c r="D116" s="166">
        <f t="shared" si="256"/>
        <v>1.0157295688926971</v>
      </c>
      <c r="E116" s="166">
        <f t="shared" si="256"/>
        <v>1.013901206654696</v>
      </c>
      <c r="F116" s="166">
        <f t="shared" si="256"/>
        <v>1.0111213169497746</v>
      </c>
      <c r="G116" s="166">
        <f t="shared" si="256"/>
        <v>1.0073710043626125</v>
      </c>
      <c r="H116" s="166">
        <f t="shared" si="256"/>
        <v>1.0026245187069713</v>
      </c>
      <c r="I116" s="166">
        <f t="shared" si="256"/>
        <v>0.99684884444554811</v>
      </c>
      <c r="J116" s="166">
        <f t="shared" si="256"/>
        <v>0.99000316700545232</v>
      </c>
      <c r="K116" s="166">
        <f t="shared" si="256"/>
        <v>0.98203820217463156</v>
      </c>
      <c r="L116" s="166">
        <f t="shared" si="256"/>
        <v>0.97289537110045254</v>
      </c>
      <c r="M116" s="166">
        <f t="shared" si="256"/>
        <v>0.96250579926300195</v>
      </c>
      <c r="N116" s="166">
        <f t="shared" si="256"/>
        <v>0.95078911309582881</v>
      </c>
      <c r="O116" s="166">
        <f t="shared" si="256"/>
        <v>0.93765200264114557</v>
      </c>
      <c r="P116" s="166">
        <f t="shared" si="256"/>
        <v>0.92298651278520394</v>
      </c>
      <c r="Q116" s="166">
        <f t="shared" si="256"/>
        <v>0.90666801937509656</v>
      </c>
      <c r="R116" s="166">
        <f t="shared" si="256"/>
        <v>0.88855284024307979</v>
      </c>
      <c r="S116" s="166">
        <f t="shared" si="256"/>
        <v>0.8684754256164352</v>
      </c>
      <c r="T116" s="166">
        <f t="shared" si="256"/>
        <v>0.84624506898984753</v>
      </c>
      <c r="U116" s="166">
        <f t="shared" si="256"/>
        <v>0.82164208082610146</v>
      </c>
      <c r="V116" s="166">
        <f t="shared" si="256"/>
        <v>0.79441337785760191</v>
      </c>
      <c r="W116" s="166">
        <f t="shared" si="256"/>
        <v>0.76426746785150002</v>
      </c>
      <c r="X116" s="166">
        <f t="shared" si="256"/>
        <v>0.7308688662182049</v>
      </c>
      <c r="Y116" s="166">
        <f t="shared" si="256"/>
        <v>0.69383208798440055</v>
      </c>
      <c r="Z116" s="166">
        <f t="shared" si="256"/>
        <v>0.65271555122374114</v>
      </c>
      <c r="AA116" s="166">
        <f t="shared" si="256"/>
        <v>0.60701606228276606</v>
      </c>
      <c r="AB116" s="166">
        <f t="shared" si="256"/>
        <v>0.55616511790040013</v>
      </c>
      <c r="AC116" s="166">
        <f t="shared" si="256"/>
        <v>0.49952919011386665</v>
      </c>
      <c r="AD116" s="166">
        <f t="shared" si="256"/>
        <v>0.43641765154923573</v>
      </c>
      <c r="AE116" s="166">
        <f t="shared" si="256"/>
        <v>0.36610430195464094</v>
      </c>
      <c r="AF116" s="166">
        <f t="shared" si="256"/>
        <v>0.28787181779306648</v>
      </c>
      <c r="AG116" s="166">
        <f t="shared" si="256"/>
        <v>0.20109289620859039</v>
      </c>
      <c r="AH116" s="166">
        <f t="shared" si="256"/>
        <v>0.1053666715830236</v>
      </c>
      <c r="AI116" s="166">
        <f t="shared" ref="AI116:BN116" si="257">ABS(AI100-AI53)</f>
        <v>7.3149415242346194E-4</v>
      </c>
      <c r="AJ116" s="166">
        <f t="shared" si="257"/>
        <v>0.11203111678258337</v>
      </c>
      <c r="AK116" s="166">
        <f t="shared" si="257"/>
        <v>0.23101369302703545</v>
      </c>
      <c r="AL116" s="166">
        <f t="shared" si="257"/>
        <v>0.35279679293556288</v>
      </c>
      <c r="AM116" s="166">
        <f t="shared" si="257"/>
        <v>0.47223697544961118</v>
      </c>
      <c r="AN116" s="166">
        <f t="shared" si="257"/>
        <v>0.5826996877191466</v>
      </c>
      <c r="AO116" s="166">
        <f t="shared" si="257"/>
        <v>0.67697029601589054</v>
      </c>
      <c r="AP116" s="166">
        <f t="shared" si="257"/>
        <v>0.71936197286438053</v>
      </c>
      <c r="AQ116" s="166">
        <f t="shared" si="257"/>
        <v>0.77708620021185748</v>
      </c>
      <c r="AR116" s="166">
        <f t="shared" si="257"/>
        <v>0.80801290681882798</v>
      </c>
      <c r="AS116" s="166">
        <f t="shared" si="257"/>
        <v>0.81365924974883086</v>
      </c>
      <c r="AT116" s="166">
        <f t="shared" si="257"/>
        <v>0.79812146470551637</v>
      </c>
      <c r="AU116" s="166">
        <f t="shared" si="257"/>
        <v>0.76670036542916464</v>
      </c>
      <c r="AV116" s="166">
        <f t="shared" si="257"/>
        <v>0.72465834687656328</v>
      </c>
      <c r="AW116" s="166">
        <f t="shared" si="257"/>
        <v>0.67646328986909143</v>
      </c>
      <c r="AX116" s="166">
        <f t="shared" si="257"/>
        <v>0.62551855668453626</v>
      </c>
      <c r="AY116" s="166">
        <f t="shared" si="257"/>
        <v>0.57420832758008977</v>
      </c>
      <c r="AZ116" s="166">
        <f t="shared" si="257"/>
        <v>0.52408370089543688</v>
      </c>
      <c r="BA116" s="166">
        <f t="shared" si="257"/>
        <v>0.47607633877467936</v>
      </c>
      <c r="BB116" s="166">
        <f t="shared" si="257"/>
        <v>0.43068603699150532</v>
      </c>
      <c r="BC116" s="166">
        <f t="shared" si="257"/>
        <v>0.38812599956166793</v>
      </c>
      <c r="BD116" s="166">
        <f t="shared" si="257"/>
        <v>0.34842749431894804</v>
      </c>
      <c r="BE116" s="166">
        <f t="shared" si="257"/>
        <v>0.31151178892134834</v>
      </c>
      <c r="BF116" s="166">
        <f t="shared" si="257"/>
        <v>0.27723795386170558</v>
      </c>
      <c r="BG116" s="166">
        <f t="shared" si="257"/>
        <v>0.24543375813946144</v>
      </c>
      <c r="BH116" s="166">
        <f t="shared" si="257"/>
        <v>0.21591510305343409</v>
      </c>
      <c r="BI116" s="166">
        <f t="shared" si="257"/>
        <v>0.18849786180666217</v>
      </c>
      <c r="BJ116" s="166">
        <f t="shared" si="257"/>
        <v>0.16300477675092595</v>
      </c>
      <c r="BK116" s="166">
        <f t="shared" si="257"/>
        <v>0.13926919209876298</v>
      </c>
      <c r="BL116" s="166">
        <f t="shared" si="257"/>
        <v>0.11713679592068793</v>
      </c>
      <c r="BM116" s="166">
        <f t="shared" si="257"/>
        <v>9.6466137625125903E-2</v>
      </c>
      <c r="BN116" s="166">
        <f t="shared" si="257"/>
        <v>7.7128416122492993E-2</v>
      </c>
      <c r="BO116" s="166">
        <f t="shared" ref="BO116:CG116" si="258">ABS(BO100-BO53)</f>
        <v>5.9006855482473197E-2</v>
      </c>
      <c r="BP116" s="166">
        <f t="shared" si="258"/>
        <v>4.1995868287052263E-2</v>
      </c>
      <c r="BQ116" s="166">
        <f t="shared" si="258"/>
        <v>2.600013110200039E-2</v>
      </c>
      <c r="BR116" s="166">
        <f t="shared" si="258"/>
        <v>1.0933647523436951E-2</v>
      </c>
      <c r="BS116" s="166">
        <f t="shared" si="258"/>
        <v>3.2811571698263542E-3</v>
      </c>
      <c r="BT116" s="166">
        <f t="shared" si="258"/>
        <v>1.6714285714285904E-2</v>
      </c>
      <c r="BU116" s="166">
        <f t="shared" si="258"/>
        <v>0.1405424648392043</v>
      </c>
      <c r="BV116" s="166">
        <f t="shared" si="258"/>
        <v>0.21568186991611349</v>
      </c>
      <c r="BW116" s="166">
        <f t="shared" si="258"/>
        <v>0.26874494709437202</v>
      </c>
      <c r="BX116" s="166">
        <f t="shared" si="258"/>
        <v>0.31022507117317211</v>
      </c>
      <c r="BY116" s="166">
        <f t="shared" si="258"/>
        <v>0.34490544256774491</v>
      </c>
      <c r="BZ116" s="166">
        <f t="shared" si="258"/>
        <v>0.37519707741867481</v>
      </c>
      <c r="CA116" s="166">
        <f t="shared" si="258"/>
        <v>0.40240903245469795</v>
      </c>
      <c r="CB116" s="166">
        <f t="shared" si="258"/>
        <v>0.42729644433459135</v>
      </c>
      <c r="CC116" s="166">
        <f t="shared" si="258"/>
        <v>0.45031968105126985</v>
      </c>
      <c r="CD116" s="166">
        <f t="shared" si="258"/>
        <v>0.47177540256503836</v>
      </c>
      <c r="CE116" s="166">
        <f t="shared" si="258"/>
        <v>0.49186619124149833</v>
      </c>
      <c r="CF116" s="166">
        <f t="shared" si="258"/>
        <v>0.51073890781398834</v>
      </c>
      <c r="CG116" s="166">
        <f t="shared" si="258"/>
        <v>0.52850638990590004</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0.47032988969416384</v>
      </c>
      <c r="AJ117" s="166">
        <f t="shared" si="260"/>
        <v>0</v>
      </c>
      <c r="AK117" s="166">
        <f t="shared" si="260"/>
        <v>0</v>
      </c>
      <c r="AL117" s="166">
        <f t="shared" si="260"/>
        <v>0</v>
      </c>
      <c r="AM117" s="166">
        <f t="shared" si="260"/>
        <v>0</v>
      </c>
      <c r="AN117" s="166">
        <f t="shared" si="260"/>
        <v>0</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v>
      </c>
      <c r="BJ117" s="166">
        <f t="shared" si="260"/>
        <v>0</v>
      </c>
      <c r="BK117" s="166">
        <f t="shared" si="260"/>
        <v>0</v>
      </c>
      <c r="BL117" s="166">
        <f t="shared" si="260"/>
        <v>0</v>
      </c>
      <c r="BM117" s="166">
        <f t="shared" si="260"/>
        <v>0</v>
      </c>
      <c r="BN117" s="166">
        <f t="shared" si="260"/>
        <v>0</v>
      </c>
      <c r="BO117" s="166">
        <f t="shared" ref="BO117:CG117" si="261">IF(BO116&lt;0.05,BO25,0)</f>
        <v>0</v>
      </c>
      <c r="BP117" s="166">
        <f t="shared" si="261"/>
        <v>0.94202898550724656</v>
      </c>
      <c r="BQ117" s="166">
        <f t="shared" si="261"/>
        <v>0.95652173913043492</v>
      </c>
      <c r="BR117" s="166">
        <f t="shared" si="261"/>
        <v>0.97101449275362328</v>
      </c>
      <c r="BS117" s="166">
        <f t="shared" si="261"/>
        <v>0.98550724637681164</v>
      </c>
      <c r="BT117" s="166">
        <f t="shared" si="261"/>
        <v>1</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1</v>
      </c>
      <c r="CJ117" s="169"/>
      <c r="CL117" s="37"/>
    </row>
    <row r="118" spans="2:90" ht="16.5" customHeight="1">
      <c r="B118" s="166" t="s">
        <v>869</v>
      </c>
      <c r="C118" s="166">
        <f t="shared" ref="C118:AH118" si="262">ABS(C101-C53)</f>
        <v>1.0167142635267852</v>
      </c>
      <c r="D118" s="166">
        <f t="shared" si="262"/>
        <v>1.0157294326998336</v>
      </c>
      <c r="E118" s="166">
        <f t="shared" si="262"/>
        <v>1.0139000941581684</v>
      </c>
      <c r="F118" s="166">
        <f t="shared" si="262"/>
        <v>1.0111169130917206</v>
      </c>
      <c r="G118" s="166">
        <f t="shared" si="262"/>
        <v>1.0073586909957408</v>
      </c>
      <c r="H118" s="166">
        <f t="shared" si="262"/>
        <v>1.0025964490116581</v>
      </c>
      <c r="I118" s="166">
        <f t="shared" si="262"/>
        <v>0.99679288025930879</v>
      </c>
      <c r="J118" s="166">
        <f t="shared" si="262"/>
        <v>0.98990163004648435</v>
      </c>
      <c r="K118" s="166">
        <f t="shared" si="262"/>
        <v>0.98186637886668815</v>
      </c>
      <c r="L118" s="166">
        <f t="shared" si="262"/>
        <v>0.97261969531500192</v>
      </c>
      <c r="M118" s="166">
        <f t="shared" si="262"/>
        <v>0.96208161647311929</v>
      </c>
      <c r="N118" s="166">
        <f t="shared" si="262"/>
        <v>0.95015790134551481</v>
      </c>
      <c r="O118" s="166">
        <f t="shared" si="262"/>
        <v>0.93673788780075373</v>
      </c>
      <c r="P118" s="166">
        <f t="shared" si="262"/>
        <v>0.92169186418136051</v>
      </c>
      <c r="Q118" s="166">
        <f t="shared" si="262"/>
        <v>0.9048678419786238</v>
      </c>
      <c r="R118" s="166">
        <f t="shared" si="262"/>
        <v>0.88608758400860121</v>
      </c>
      <c r="S118" s="166">
        <f t="shared" si="262"/>
        <v>0.86514170114532152</v>
      </c>
      <c r="T118" s="166">
        <f t="shared" si="262"/>
        <v>0.84178357701940842</v>
      </c>
      <c r="U118" s="166">
        <f t="shared" si="262"/>
        <v>0.81572181063288118</v>
      </c>
      <c r="V118" s="166">
        <f t="shared" si="262"/>
        <v>0.7866107773882427</v>
      </c>
      <c r="W118" s="166">
        <f t="shared" si="262"/>
        <v>0.75403879513792371</v>
      </c>
      <c r="X118" s="166">
        <f t="shared" si="262"/>
        <v>0.71751323999853656</v>
      </c>
      <c r="Y118" s="166">
        <f t="shared" si="262"/>
        <v>0.67644178717056458</v>
      </c>
      <c r="Z118" s="166">
        <f t="shared" si="262"/>
        <v>0.63010876585947639</v>
      </c>
      <c r="AA118" s="166">
        <f t="shared" si="262"/>
        <v>0.57764545144828516</v>
      </c>
      <c r="AB118" s="166">
        <f t="shared" si="262"/>
        <v>0.51799306800104761</v>
      </c>
      <c r="AC118" s="166">
        <f t="shared" si="262"/>
        <v>0.44985756531909826</v>
      </c>
      <c r="AD118" s="166">
        <f t="shared" si="262"/>
        <v>0.37165637229574811</v>
      </c>
      <c r="AE118" s="166">
        <f t="shared" si="262"/>
        <v>0.28146041036903025</v>
      </c>
      <c r="AF118" s="166">
        <f t="shared" si="262"/>
        <v>0.17694200188496789</v>
      </c>
      <c r="AG118" s="166">
        <f t="shared" si="262"/>
        <v>5.5355680591627321E-2</v>
      </c>
      <c r="AH118" s="166">
        <f t="shared" si="262"/>
        <v>8.6386553544012923E-2</v>
      </c>
      <c r="AI118" s="166">
        <f t="shared" ref="AI118:BN118" si="263">ABS(AI101-AI53)</f>
        <v>0.25141587410495481</v>
      </c>
      <c r="AJ118" s="166">
        <f t="shared" si="263"/>
        <v>0.44213406405304023</v>
      </c>
      <c r="AK118" s="166">
        <f t="shared" si="263"/>
        <v>0.6585603445475956</v>
      </c>
      <c r="AL118" s="166">
        <f t="shared" si="263"/>
        <v>0.89535566914016562</v>
      </c>
      <c r="AM118" s="166">
        <f t="shared" si="263"/>
        <v>1.137738386489294</v>
      </c>
      <c r="AN118" s="166">
        <f t="shared" si="263"/>
        <v>1.3587896716266097</v>
      </c>
      <c r="AO118" s="166">
        <f t="shared" si="263"/>
        <v>1.523811352050545</v>
      </c>
      <c r="AP118" s="166">
        <f t="shared" si="263"/>
        <v>1.5796177948134877</v>
      </c>
      <c r="AQ118" s="166">
        <f t="shared" si="263"/>
        <v>1.6112754892432122</v>
      </c>
      <c r="AR118" s="166">
        <f t="shared" si="263"/>
        <v>1.5623495678935657</v>
      </c>
      <c r="AS118" s="166">
        <f t="shared" si="263"/>
        <v>1.4590509645802596</v>
      </c>
      <c r="AT118" s="166">
        <f t="shared" si="263"/>
        <v>1.3291139573248643</v>
      </c>
      <c r="AU118" s="166">
        <f t="shared" si="263"/>
        <v>1.1927526744853916</v>
      </c>
      <c r="AV118" s="166">
        <f t="shared" si="263"/>
        <v>1.0615682016557866</v>
      </c>
      <c r="AW118" s="166">
        <f t="shared" si="263"/>
        <v>0.94091841281240995</v>
      </c>
      <c r="AX118" s="166">
        <f t="shared" si="263"/>
        <v>0.83250616785317577</v>
      </c>
      <c r="AY118" s="166">
        <f t="shared" si="263"/>
        <v>0.73617739425747697</v>
      </c>
      <c r="AZ118" s="166">
        <f t="shared" si="263"/>
        <v>0.65096166079447504</v>
      </c>
      <c r="BA118" s="166">
        <f t="shared" si="263"/>
        <v>0.57561473654373763</v>
      </c>
      <c r="BB118" s="166">
        <f t="shared" si="263"/>
        <v>0.50887870645415134</v>
      </c>
      <c r="BC118" s="166">
        <f t="shared" si="263"/>
        <v>0.44959396208790481</v>
      </c>
      <c r="BD118" s="166">
        <f t="shared" si="263"/>
        <v>0.39673766524524301</v>
      </c>
      <c r="BE118" s="166">
        <f t="shared" si="263"/>
        <v>0.34942775524819614</v>
      </c>
      <c r="BF118" s="166">
        <f t="shared" si="263"/>
        <v>0.30691220909504291</v>
      </c>
      <c r="BG118" s="166">
        <f t="shared" si="263"/>
        <v>0.26855316173301014</v>
      </c>
      <c r="BH118" s="166">
        <f t="shared" si="263"/>
        <v>0.23381035751732582</v>
      </c>
      <c r="BI118" s="166">
        <f t="shared" si="263"/>
        <v>0.20222584700602475</v>
      </c>
      <c r="BJ118" s="166">
        <f t="shared" si="263"/>
        <v>0.17341060269855535</v>
      </c>
      <c r="BK118" s="166">
        <f t="shared" si="263"/>
        <v>0.14703315012065499</v>
      </c>
      <c r="BL118" s="166">
        <f t="shared" si="263"/>
        <v>0.12281006294129559</v>
      </c>
      <c r="BM118" s="166">
        <f t="shared" si="263"/>
        <v>0.10049808311619524</v>
      </c>
      <c r="BN118" s="166">
        <f t="shared" si="263"/>
        <v>7.988761400000266E-2</v>
      </c>
      <c r="BO118" s="166">
        <f t="shared" ref="BO118:CG118" si="264">ABS(BO101-BO53)</f>
        <v>6.0797353439771218E-2</v>
      </c>
      <c r="BP118" s="166">
        <f t="shared" si="264"/>
        <v>4.3069864337516917E-2</v>
      </c>
      <c r="BQ118" s="166">
        <f t="shared" si="264"/>
        <v>2.656791235437117E-2</v>
      </c>
      <c r="BR118" s="166">
        <f t="shared" si="264"/>
        <v>1.1171430140264782E-2</v>
      </c>
      <c r="BS118" s="166">
        <f t="shared" si="264"/>
        <v>3.2250067743924138E-3</v>
      </c>
      <c r="BT118" s="166">
        <f t="shared" si="264"/>
        <v>1.6714285714285904E-2</v>
      </c>
      <c r="BU118" s="166">
        <f t="shared" si="264"/>
        <v>0.13555444659747962</v>
      </c>
      <c r="BV118" s="166">
        <f t="shared" si="264"/>
        <v>0.20203354759970293</v>
      </c>
      <c r="BW118" s="166">
        <f t="shared" si="264"/>
        <v>0.24573355573815947</v>
      </c>
      <c r="BX118" s="166">
        <f t="shared" si="264"/>
        <v>0.27786947935720452</v>
      </c>
      <c r="BY118" s="166">
        <f t="shared" si="264"/>
        <v>0.3035177163487186</v>
      </c>
      <c r="BZ118" s="166">
        <f t="shared" si="264"/>
        <v>0.32525437488761688</v>
      </c>
      <c r="CA118" s="166">
        <f t="shared" si="264"/>
        <v>0.34449239679019827</v>
      </c>
      <c r="CB118" s="166">
        <f t="shared" si="264"/>
        <v>0.36204996844051229</v>
      </c>
      <c r="CC118" s="166">
        <f t="shared" si="264"/>
        <v>0.37841933905845426</v>
      </c>
      <c r="CD118" s="166">
        <f t="shared" si="264"/>
        <v>0.39390471640531721</v>
      </c>
      <c r="CE118" s="166">
        <f t="shared" si="264"/>
        <v>0.40869763501400858</v>
      </c>
      <c r="CF118" s="166">
        <f t="shared" si="264"/>
        <v>0.42292026139850925</v>
      </c>
      <c r="CG118" s="166">
        <f t="shared" si="264"/>
        <v>0.43665127442932394</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v>
      </c>
      <c r="BJ119" s="166">
        <f t="shared" si="266"/>
        <v>0</v>
      </c>
      <c r="BK119" s="166">
        <f t="shared" si="266"/>
        <v>0</v>
      </c>
      <c r="BL119" s="166">
        <f t="shared" si="266"/>
        <v>0</v>
      </c>
      <c r="BM119" s="166">
        <f t="shared" si="266"/>
        <v>0</v>
      </c>
      <c r="BN119" s="166">
        <f t="shared" si="266"/>
        <v>0</v>
      </c>
      <c r="BO119" s="166">
        <f t="shared" ref="BO119:CG119" si="267">IF(BO118&lt;0.05,BO25,0)</f>
        <v>0</v>
      </c>
      <c r="BP119" s="166">
        <f t="shared" si="267"/>
        <v>0.94202898550724656</v>
      </c>
      <c r="BQ119" s="166">
        <f t="shared" si="267"/>
        <v>0.95652173913043492</v>
      </c>
      <c r="BR119" s="166">
        <f t="shared" si="267"/>
        <v>0.97101449275362328</v>
      </c>
      <c r="BS119" s="166">
        <f t="shared" si="267"/>
        <v>0.98550724637681164</v>
      </c>
      <c r="BT119" s="166">
        <f t="shared" si="267"/>
        <v>1</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1</v>
      </c>
      <c r="CJ119" s="169"/>
      <c r="CL119" s="37"/>
    </row>
    <row r="120" spans="2:90" ht="16.5" customHeight="1">
      <c r="B120" s="166" t="s">
        <v>870</v>
      </c>
      <c r="C120" s="166">
        <f t="shared" ref="C120:AH120" si="268">ABS(C102-C53)</f>
        <v>1.0167142635267852</v>
      </c>
      <c r="D120" s="166">
        <f t="shared" si="268"/>
        <v>1.015729350956986</v>
      </c>
      <c r="E120" s="166">
        <f t="shared" si="268"/>
        <v>1.0138994260263721</v>
      </c>
      <c r="F120" s="166">
        <f t="shared" si="268"/>
        <v>1.0111142657783512</v>
      </c>
      <c r="G120" s="166">
        <f t="shared" si="268"/>
        <v>1.0073512795667436</v>
      </c>
      <c r="H120" s="166">
        <f t="shared" si="268"/>
        <v>1.0025795264543753</v>
      </c>
      <c r="I120" s="166">
        <f t="shared" si="268"/>
        <v>0.99675907386079365</v>
      </c>
      <c r="J120" s="166">
        <f t="shared" si="268"/>
        <v>0.98984014923932595</v>
      </c>
      <c r="K120" s="166">
        <f t="shared" si="268"/>
        <v>0.98176205070999834</v>
      </c>
      <c r="L120" s="166">
        <f t="shared" si="268"/>
        <v>0.97245177125713445</v>
      </c>
      <c r="M120" s="166">
        <f t="shared" si="268"/>
        <v>0.96182227669079134</v>
      </c>
      <c r="N120" s="166">
        <f t="shared" si="268"/>
        <v>0.94977035888965855</v>
      </c>
      <c r="O120" s="166">
        <f t="shared" si="268"/>
        <v>0.93617396125430841</v>
      </c>
      <c r="P120" s="166">
        <f t="shared" si="268"/>
        <v>0.92088884050306996</v>
      </c>
      <c r="Q120" s="166">
        <f t="shared" si="268"/>
        <v>0.90374438465765383</v>
      </c>
      <c r="R120" s="166">
        <f t="shared" si="268"/>
        <v>0.88453834655329022</v>
      </c>
      <c r="S120" s="166">
        <f t="shared" si="268"/>
        <v>0.86303016853539238</v>
      </c>
      <c r="T120" s="166">
        <f t="shared" si="268"/>
        <v>0.83893245689389739</v>
      </c>
      <c r="U120" s="166">
        <f t="shared" si="268"/>
        <v>0.81189999859354001</v>
      </c>
      <c r="V120" s="166">
        <f t="shared" si="268"/>
        <v>0.78151547444550373</v>
      </c>
      <c r="W120" s="166">
        <f t="shared" si="268"/>
        <v>0.74727067562537375</v>
      </c>
      <c r="X120" s="166">
        <f t="shared" si="268"/>
        <v>0.70854151718633784</v>
      </c>
      <c r="Y120" s="166">
        <f t="shared" si="268"/>
        <v>0.66455437167865683</v>
      </c>
      <c r="Z120" s="166">
        <f t="shared" si="268"/>
        <v>0.61434007014008651</v>
      </c>
      <c r="AA120" s="166">
        <f t="shared" si="268"/>
        <v>0.556670092609717</v>
      </c>
      <c r="AB120" s="166">
        <f t="shared" si="268"/>
        <v>0.48996658780794411</v>
      </c>
      <c r="AC120" s="166">
        <f t="shared" si="268"/>
        <v>0.41217323040976939</v>
      </c>
      <c r="AD120" s="166">
        <f t="shared" si="268"/>
        <v>0.32056636565082275</v>
      </c>
      <c r="AE120" s="166">
        <f t="shared" si="268"/>
        <v>0.21147340682414417</v>
      </c>
      <c r="AF120" s="166">
        <f t="shared" si="268"/>
        <v>7.9844772954812293E-2</v>
      </c>
      <c r="AG120" s="166">
        <f t="shared" si="268"/>
        <v>8.1407964446115866E-2</v>
      </c>
      <c r="AH120" s="166">
        <f t="shared" si="268"/>
        <v>0.28244568232574552</v>
      </c>
      <c r="AI120" s="166">
        <f t="shared" ref="AI120:BN120" si="269">ABS(AI102-AI53)</f>
        <v>0.53810146770853273</v>
      </c>
      <c r="AJ120" s="166">
        <f t="shared" si="269"/>
        <v>0.87020483323716791</v>
      </c>
      <c r="AK120" s="166">
        <f t="shared" si="269"/>
        <v>1.3101497586819026</v>
      </c>
      <c r="AL120" s="166">
        <f t="shared" si="269"/>
        <v>1.8977217550691474</v>
      </c>
      <c r="AM120" s="166">
        <f t="shared" si="269"/>
        <v>2.6577490054923105</v>
      </c>
      <c r="AN120" s="166">
        <f t="shared" si="269"/>
        <v>3.5013145599743623</v>
      </c>
      <c r="AO120" s="166">
        <f t="shared" si="269"/>
        <v>4.064323653708918</v>
      </c>
      <c r="AP120" s="166">
        <f t="shared" si="269"/>
        <v>4.0942469204886436</v>
      </c>
      <c r="AQ120" s="166">
        <f t="shared" si="269"/>
        <v>3.686677266301198</v>
      </c>
      <c r="AR120" s="166">
        <f t="shared" si="269"/>
        <v>3.0541000153111404</v>
      </c>
      <c r="AS120" s="166">
        <f t="shared" si="269"/>
        <v>2.476583303557895</v>
      </c>
      <c r="AT120" s="166">
        <f t="shared" si="269"/>
        <v>2.0179759684427689</v>
      </c>
      <c r="AU120" s="166">
        <f t="shared" si="269"/>
        <v>1.6644711027696424</v>
      </c>
      <c r="AV120" s="166">
        <f t="shared" si="269"/>
        <v>1.3905177825092294</v>
      </c>
      <c r="AW120" s="166">
        <f t="shared" si="269"/>
        <v>1.1748135718587154</v>
      </c>
      <c r="AX120" s="166">
        <f t="shared" si="269"/>
        <v>1.0018882254224781</v>
      </c>
      <c r="AY120" s="166">
        <f t="shared" si="269"/>
        <v>0.86084515732002864</v>
      </c>
      <c r="AZ120" s="166">
        <f t="shared" si="269"/>
        <v>0.74399305475257349</v>
      </c>
      <c r="BA120" s="166">
        <f t="shared" si="269"/>
        <v>0.64582947147822312</v>
      </c>
      <c r="BB120" s="166">
        <f t="shared" si="269"/>
        <v>0.56234989093870902</v>
      </c>
      <c r="BC120" s="166">
        <f t="shared" si="269"/>
        <v>0.49058777902008699</v>
      </c>
      <c r="BD120" s="166">
        <f t="shared" si="269"/>
        <v>0.42830762276210255</v>
      </c>
      <c r="BE120" s="166">
        <f t="shared" si="269"/>
        <v>0.3737976407439989</v>
      </c>
      <c r="BF120" s="166">
        <f t="shared" si="269"/>
        <v>0.32572763528247717</v>
      </c>
      <c r="BG120" s="166">
        <f t="shared" si="269"/>
        <v>0.28304990127314289</v>
      </c>
      <c r="BH120" s="166">
        <f t="shared" si="269"/>
        <v>0.24492901248473964</v>
      </c>
      <c r="BI120" s="166">
        <f t="shared" si="269"/>
        <v>0.21069128239714607</v>
      </c>
      <c r="BJ120" s="166">
        <f t="shared" si="269"/>
        <v>0.17978784270373027</v>
      </c>
      <c r="BK120" s="166">
        <f t="shared" si="269"/>
        <v>0.15176729267576161</v>
      </c>
      <c r="BL120" s="166">
        <f t="shared" si="269"/>
        <v>0.12625517413776111</v>
      </c>
      <c r="BM120" s="166">
        <f t="shared" si="269"/>
        <v>0.1029383818367049</v>
      </c>
      <c r="BN120" s="166">
        <f t="shared" si="269"/>
        <v>8.1553188986750236E-2</v>
      </c>
      <c r="BO120" s="166">
        <f t="shared" ref="BO120:CG120" si="270">ABS(BO102-BO53)</f>
        <v>6.1875953272840345E-2</v>
      </c>
      <c r="BP120" s="166">
        <f t="shared" si="270"/>
        <v>4.3715832976567004E-2</v>
      </c>
      <c r="BQ120" s="166">
        <f t="shared" si="270"/>
        <v>2.6909026633419764E-2</v>
      </c>
      <c r="BR120" s="166">
        <f t="shared" si="270"/>
        <v>1.1314178962748223E-2</v>
      </c>
      <c r="BS120" s="166">
        <f t="shared" si="270"/>
        <v>3.1913120568523023E-3</v>
      </c>
      <c r="BT120" s="166">
        <f t="shared" si="270"/>
        <v>1.6714285714285904E-2</v>
      </c>
      <c r="BU120" s="166">
        <f t="shared" si="270"/>
        <v>0.1325204317127755</v>
      </c>
      <c r="BV120" s="166">
        <f t="shared" si="270"/>
        <v>0.1935019015464009</v>
      </c>
      <c r="BW120" s="166">
        <f t="shared" si="270"/>
        <v>0.23086364064151399</v>
      </c>
      <c r="BX120" s="166">
        <f t="shared" si="270"/>
        <v>0.25618340237688453</v>
      </c>
      <c r="BY120" s="166">
        <f t="shared" si="270"/>
        <v>0.27468436673515806</v>
      </c>
      <c r="BZ120" s="166">
        <f t="shared" si="270"/>
        <v>0.28904009350437398</v>
      </c>
      <c r="CA120" s="166">
        <f t="shared" si="270"/>
        <v>0.30074584626430989</v>
      </c>
      <c r="CB120" s="166">
        <f t="shared" si="270"/>
        <v>0.31069442648528933</v>
      </c>
      <c r="CC120" s="166">
        <f t="shared" si="270"/>
        <v>0.319446188296728</v>
      </c>
      <c r="CD120" s="166">
        <f t="shared" si="270"/>
        <v>0.32736674059058668</v>
      </c>
      <c r="CE120" s="166">
        <f t="shared" si="270"/>
        <v>0.33470198630876613</v>
      </c>
      <c r="CF120" s="166">
        <f t="shared" si="270"/>
        <v>0.34162127786091079</v>
      </c>
      <c r="CG120" s="166">
        <f t="shared" si="270"/>
        <v>0.34824337270145655</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v>
      </c>
      <c r="BK121" s="166">
        <f t="shared" si="272"/>
        <v>0</v>
      </c>
      <c r="BL121" s="166">
        <f t="shared" si="272"/>
        <v>0</v>
      </c>
      <c r="BM121" s="166">
        <f t="shared" si="272"/>
        <v>0</v>
      </c>
      <c r="BN121" s="166">
        <f t="shared" si="272"/>
        <v>0</v>
      </c>
      <c r="BO121" s="166">
        <f t="shared" ref="BO121:CG121" si="273">IF(BO120&lt;0.05,BO25,0)</f>
        <v>0</v>
      </c>
      <c r="BP121" s="166">
        <f t="shared" si="273"/>
        <v>0.94202898550724656</v>
      </c>
      <c r="BQ121" s="166">
        <f t="shared" si="273"/>
        <v>0.95652173913043492</v>
      </c>
      <c r="BR121" s="166">
        <f t="shared" si="273"/>
        <v>0.97101449275362328</v>
      </c>
      <c r="BS121" s="166">
        <f t="shared" si="273"/>
        <v>0.98550724637681164</v>
      </c>
      <c r="BT121" s="166">
        <f t="shared" si="273"/>
        <v>1</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1</v>
      </c>
      <c r="CJ121" s="170"/>
      <c r="CK121" s="47"/>
      <c r="CL121" s="48"/>
    </row>
    <row r="122" spans="2:90" ht="17.25" customHeight="1"/>
    <row r="123" spans="2:90" ht="16.5" customHeight="1">
      <c r="B123" s="166" t="s">
        <v>871</v>
      </c>
      <c r="C123" s="166">
        <f t="shared" ref="C123:AH123" si="274">ABS(C108-C70)</f>
        <v>0.74951812104510829</v>
      </c>
      <c r="D123" s="166">
        <f t="shared" si="274"/>
        <v>0.74853329021815662</v>
      </c>
      <c r="E123" s="166">
        <f t="shared" si="274"/>
        <v>0.74670395167649151</v>
      </c>
      <c r="F123" s="166">
        <f t="shared" si="274"/>
        <v>0.74392077061004358</v>
      </c>
      <c r="G123" s="166">
        <f t="shared" si="274"/>
        <v>0.74016254851406382</v>
      </c>
      <c r="H123" s="166">
        <f t="shared" si="274"/>
        <v>0.73540030652998123</v>
      </c>
      <c r="I123" s="166">
        <f t="shared" si="274"/>
        <v>0.72959673777763179</v>
      </c>
      <c r="J123" s="166">
        <f t="shared" si="274"/>
        <v>0.72270548756480735</v>
      </c>
      <c r="K123" s="166">
        <f t="shared" si="274"/>
        <v>0.71467023638501115</v>
      </c>
      <c r="L123" s="166">
        <f t="shared" si="274"/>
        <v>0.70542355283332492</v>
      </c>
      <c r="M123" s="166">
        <f t="shared" si="274"/>
        <v>0.69488547399144229</v>
      </c>
      <c r="N123" s="166">
        <f t="shared" si="274"/>
        <v>0.68296175886383792</v>
      </c>
      <c r="O123" s="166">
        <f t="shared" si="274"/>
        <v>0.66954174531907673</v>
      </c>
      <c r="P123" s="166">
        <f t="shared" si="274"/>
        <v>0.6544957216996834</v>
      </c>
      <c r="Q123" s="166">
        <f t="shared" si="274"/>
        <v>0.6376716994969468</v>
      </c>
      <c r="R123" s="166">
        <f t="shared" si="274"/>
        <v>0.61889144152692421</v>
      </c>
      <c r="S123" s="166">
        <f t="shared" si="274"/>
        <v>0.59794555866364452</v>
      </c>
      <c r="T123" s="166">
        <f t="shared" si="274"/>
        <v>0.57458743453773131</v>
      </c>
      <c r="U123" s="166">
        <f t="shared" si="274"/>
        <v>0.54852566815120418</v>
      </c>
      <c r="V123" s="166">
        <f t="shared" si="274"/>
        <v>0.51941463490656581</v>
      </c>
      <c r="W123" s="166">
        <f t="shared" si="274"/>
        <v>0.48684265265624665</v>
      </c>
      <c r="X123" s="166">
        <f t="shared" si="274"/>
        <v>0.45031709751685955</v>
      </c>
      <c r="Y123" s="166">
        <f t="shared" si="274"/>
        <v>0.40924564468888758</v>
      </c>
      <c r="Z123" s="166">
        <f t="shared" si="274"/>
        <v>0.36291262337779945</v>
      </c>
      <c r="AA123" s="166">
        <f t="shared" si="274"/>
        <v>0.31044930896660811</v>
      </c>
      <c r="AB123" s="166">
        <f t="shared" si="274"/>
        <v>0.25079692551937066</v>
      </c>
      <c r="AC123" s="166">
        <f t="shared" si="274"/>
        <v>0.18266142283742126</v>
      </c>
      <c r="AD123" s="166">
        <f t="shared" si="274"/>
        <v>0.10446022981407099</v>
      </c>
      <c r="AE123" s="166">
        <f t="shared" si="274"/>
        <v>1.4264267887353022E-2</v>
      </c>
      <c r="AF123" s="166">
        <f t="shared" si="274"/>
        <v>9.025414059670922E-2</v>
      </c>
      <c r="AG123" s="166">
        <f t="shared" si="274"/>
        <v>0.2118404618900499</v>
      </c>
      <c r="AH123" s="166">
        <f t="shared" si="274"/>
        <v>0.35358269602569015</v>
      </c>
      <c r="AI123" s="166">
        <f t="shared" ref="AI123:BN123" si="275">ABS(AI108-AI70)</f>
        <v>0.51861201658663203</v>
      </c>
      <c r="AJ123" s="166">
        <f t="shared" si="275"/>
        <v>0.70933020653471746</v>
      </c>
      <c r="AK123" s="166">
        <f t="shared" si="275"/>
        <v>0.92575648702927305</v>
      </c>
      <c r="AL123" s="166">
        <f t="shared" si="275"/>
        <v>1.1625518116218432</v>
      </c>
      <c r="AM123" s="166">
        <f t="shared" si="275"/>
        <v>1.4049345289709714</v>
      </c>
      <c r="AN123" s="166">
        <f t="shared" si="275"/>
        <v>1.6259858141082866</v>
      </c>
      <c r="AO123" s="166">
        <f t="shared" si="275"/>
        <v>1.7910074945322223</v>
      </c>
      <c r="AP123" s="166">
        <f t="shared" si="275"/>
        <v>1.846813937295166</v>
      </c>
      <c r="AQ123" s="166">
        <f t="shared" si="275"/>
        <v>1.87847163172489</v>
      </c>
      <c r="AR123" s="166">
        <f t="shared" si="275"/>
        <v>1.8295457103752435</v>
      </c>
      <c r="AS123" s="166">
        <f t="shared" si="275"/>
        <v>1.726247107061937</v>
      </c>
      <c r="AT123" s="166">
        <f t="shared" si="275"/>
        <v>1.5963100998065416</v>
      </c>
      <c r="AU123" s="166">
        <f t="shared" si="275"/>
        <v>1.4599488169670689</v>
      </c>
      <c r="AV123" s="166">
        <f t="shared" si="275"/>
        <v>1.3287643441374635</v>
      </c>
      <c r="AW123" s="166">
        <f t="shared" si="275"/>
        <v>1.2081145552940868</v>
      </c>
      <c r="AX123" s="166">
        <f t="shared" si="275"/>
        <v>1.0997023103348527</v>
      </c>
      <c r="AY123" s="166">
        <f t="shared" si="275"/>
        <v>1.0033735367391539</v>
      </c>
      <c r="AZ123" s="166">
        <f t="shared" si="275"/>
        <v>0.91815780327615248</v>
      </c>
      <c r="BA123" s="166">
        <f t="shared" si="275"/>
        <v>0.84281087902541463</v>
      </c>
      <c r="BB123" s="166">
        <f t="shared" si="275"/>
        <v>0.77607484893582834</v>
      </c>
      <c r="BC123" s="166">
        <f t="shared" si="275"/>
        <v>0.71679010456958181</v>
      </c>
      <c r="BD123" s="166">
        <f t="shared" si="275"/>
        <v>0.66393380772692001</v>
      </c>
      <c r="BE123" s="166">
        <f t="shared" si="275"/>
        <v>0.61662389772987336</v>
      </c>
      <c r="BF123" s="166">
        <f t="shared" si="275"/>
        <v>0.57410835157671991</v>
      </c>
      <c r="BG123" s="166">
        <f t="shared" si="275"/>
        <v>0.53574930421468714</v>
      </c>
      <c r="BH123" s="166">
        <f t="shared" si="275"/>
        <v>0.50100649999900282</v>
      </c>
      <c r="BI123" s="166">
        <f t="shared" si="275"/>
        <v>0.46942198948770175</v>
      </c>
      <c r="BJ123" s="166">
        <f t="shared" si="275"/>
        <v>0.44060674518023235</v>
      </c>
      <c r="BK123" s="166">
        <f t="shared" si="275"/>
        <v>0.41422929260233199</v>
      </c>
      <c r="BL123" s="166">
        <f t="shared" si="275"/>
        <v>0.3900062054229726</v>
      </c>
      <c r="BM123" s="166">
        <f t="shared" si="275"/>
        <v>0.36769422559787224</v>
      </c>
      <c r="BN123" s="166">
        <f t="shared" si="275"/>
        <v>0.34708375648167966</v>
      </c>
      <c r="BO123" s="166">
        <f t="shared" ref="BO123:CG123" si="276">ABS(BO108-BO70)</f>
        <v>0.32799349592144822</v>
      </c>
      <c r="BP123" s="166">
        <f t="shared" si="276"/>
        <v>0.31026600681919392</v>
      </c>
      <c r="BQ123" s="166">
        <f t="shared" si="276"/>
        <v>0.29376405483604817</v>
      </c>
      <c r="BR123" s="166">
        <f t="shared" si="276"/>
        <v>0.27836757262194178</v>
      </c>
      <c r="BS123" s="166">
        <f t="shared" si="276"/>
        <v>0.26397113570728459</v>
      </c>
      <c r="BT123" s="166">
        <f t="shared" si="276"/>
        <v>0.2504818567673911</v>
      </c>
      <c r="BU123" s="166">
        <f t="shared" si="276"/>
        <v>0.13164169588419738</v>
      </c>
      <c r="BV123" s="166">
        <f t="shared" si="276"/>
        <v>6.5162594881974067E-2</v>
      </c>
      <c r="BW123" s="166">
        <f t="shared" si="276"/>
        <v>2.1462586743517531E-2</v>
      </c>
      <c r="BX123" s="166">
        <f t="shared" si="276"/>
        <v>1.0673336875527517E-2</v>
      </c>
      <c r="BY123" s="166">
        <f t="shared" si="276"/>
        <v>3.6321573867041601E-2</v>
      </c>
      <c r="BZ123" s="166">
        <f t="shared" si="276"/>
        <v>5.805823240593988E-2</v>
      </c>
      <c r="CA123" s="166">
        <f t="shared" si="276"/>
        <v>7.7296254308521162E-2</v>
      </c>
      <c r="CB123" s="166">
        <f t="shared" si="276"/>
        <v>9.4853825958835181E-2</v>
      </c>
      <c r="CC123" s="166">
        <f t="shared" si="276"/>
        <v>0.11122319657677726</v>
      </c>
      <c r="CD123" s="166">
        <f t="shared" si="276"/>
        <v>0.12670857392364021</v>
      </c>
      <c r="CE123" s="166">
        <f t="shared" si="276"/>
        <v>0.14150149253233146</v>
      </c>
      <c r="CF123" s="166">
        <f t="shared" si="276"/>
        <v>0.15572411891683224</v>
      </c>
      <c r="CG123" s="166">
        <f t="shared" si="276"/>
        <v>0.16945513194764683</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0.41235887520141018</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0</v>
      </c>
      <c r="BV124" s="166">
        <f t="shared" si="279"/>
        <v>0</v>
      </c>
      <c r="BW124" s="166">
        <f t="shared" si="279"/>
        <v>1.5546201987776334</v>
      </c>
      <c r="BX124" s="166">
        <f t="shared" si="279"/>
        <v>1.7394935983701778</v>
      </c>
      <c r="BY124" s="166">
        <f t="shared" si="279"/>
        <v>1.924366997962722</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1.924366997962722</v>
      </c>
      <c r="CJ124" s="169">
        <f>SUM(CI124:CI130)/4</f>
        <v>2.4327688468422193</v>
      </c>
      <c r="CK124" s="21">
        <f>CJ124*'Design Spec'!D112</f>
        <v>535.20914630528819</v>
      </c>
      <c r="CL124" s="37" t="s">
        <v>187</v>
      </c>
    </row>
    <row r="125" spans="2:90" ht="16.5" customHeight="1">
      <c r="B125" s="166" t="s">
        <v>872</v>
      </c>
      <c r="C125" s="166">
        <f t="shared" ref="C125:AH125" si="280">ABS(C109-C70)</f>
        <v>0.74951812104510818</v>
      </c>
      <c r="D125" s="166">
        <f t="shared" si="280"/>
        <v>0.74853324253730236</v>
      </c>
      <c r="E125" s="166">
        <f t="shared" si="280"/>
        <v>0.74670356199077048</v>
      </c>
      <c r="F125" s="166">
        <f t="shared" si="280"/>
        <v>0.74391922680031497</v>
      </c>
      <c r="G125" s="166">
        <f t="shared" si="280"/>
        <v>0.74015822732043912</v>
      </c>
      <c r="H125" s="166">
        <f t="shared" si="280"/>
        <v>0.73539044243041418</v>
      </c>
      <c r="I125" s="166">
        <f t="shared" si="280"/>
        <v>0.72957703828148812</v>
      </c>
      <c r="J125" s="166">
        <f t="shared" si="280"/>
        <v>0.72266967511487268</v>
      </c>
      <c r="K125" s="166">
        <f t="shared" si="280"/>
        <v>0.71460949204412016</v>
      </c>
      <c r="L125" s="166">
        <f t="shared" si="280"/>
        <v>0.70532582996325421</v>
      </c>
      <c r="M125" s="166">
        <f t="shared" si="280"/>
        <v>0.69473464051305633</v>
      </c>
      <c r="N125" s="166">
        <f t="shared" si="280"/>
        <v>0.68273651340888475</v>
      </c>
      <c r="O125" s="166">
        <f t="shared" si="280"/>
        <v>0.66921423418106274</v>
      </c>
      <c r="P125" s="166">
        <f t="shared" si="280"/>
        <v>0.65402975782584016</v>
      </c>
      <c r="Q125" s="166">
        <f t="shared" si="280"/>
        <v>0.63702044868694796</v>
      </c>
      <c r="R125" s="166">
        <f t="shared" si="280"/>
        <v>0.61799438983476274</v>
      </c>
      <c r="S125" s="166">
        <f t="shared" si="280"/>
        <v>0.59672450170031932</v>
      </c>
      <c r="T125" s="166">
        <f t="shared" si="280"/>
        <v>0.57294112324921609</v>
      </c>
      <c r="U125" s="166">
        <f t="shared" si="280"/>
        <v>0.54632259025215235</v>
      </c>
      <c r="V125" s="166">
        <f t="shared" si="280"/>
        <v>0.51648318088885115</v>
      </c>
      <c r="W125" s="166">
        <f t="shared" si="280"/>
        <v>0.48295756983883692</v>
      </c>
      <c r="X125" s="166">
        <f t="shared" si="280"/>
        <v>0.44518061066787995</v>
      </c>
      <c r="Y125" s="166">
        <f t="shared" si="280"/>
        <v>0.40246081364728464</v>
      </c>
      <c r="Z125" s="166">
        <f t="shared" si="280"/>
        <v>0.3539452479038947</v>
      </c>
      <c r="AA125" s="166">
        <f t="shared" si="280"/>
        <v>0.29857270138412578</v>
      </c>
      <c r="AB125" s="166">
        <f t="shared" si="280"/>
        <v>0.23501069559257826</v>
      </c>
      <c r="AC125" s="166">
        <f t="shared" si="280"/>
        <v>0.16157030744876399</v>
      </c>
      <c r="AD125" s="166">
        <f t="shared" si="280"/>
        <v>7.609074882843303E-2</v>
      </c>
      <c r="AE125" s="166">
        <f t="shared" si="280"/>
        <v>2.4216232933163329E-2</v>
      </c>
      <c r="AF125" s="166">
        <f t="shared" si="280"/>
        <v>0.1429720925059712</v>
      </c>
      <c r="AG125" s="166">
        <f t="shared" si="280"/>
        <v>0.28489008312289343</v>
      </c>
      <c r="AH125" s="166">
        <f t="shared" si="280"/>
        <v>0.45605952761328339</v>
      </c>
      <c r="AI125" s="166">
        <f t="shared" ref="AI125:BN125" si="281">ABS(AI109-AI70)</f>
        <v>0.66413413516070452</v>
      </c>
      <c r="AJ125" s="166">
        <f t="shared" si="281"/>
        <v>0.91803720410652445</v>
      </c>
      <c r="AK125" s="166">
        <f t="shared" si="281"/>
        <v>1.2261263119145682</v>
      </c>
      <c r="AL125" s="166">
        <f t="shared" si="281"/>
        <v>1.5903819611584371</v>
      </c>
      <c r="AM125" s="166">
        <f t="shared" si="281"/>
        <v>1.9928221803326442</v>
      </c>
      <c r="AN125" s="166">
        <f t="shared" si="281"/>
        <v>2.3752577901513705</v>
      </c>
      <c r="AO125" s="166">
        <f t="shared" si="281"/>
        <v>2.6378470687743905</v>
      </c>
      <c r="AP125" s="166">
        <f t="shared" si="281"/>
        <v>2.6978860433924194</v>
      </c>
      <c r="AQ125" s="166">
        <f t="shared" si="281"/>
        <v>2.6466564558255832</v>
      </c>
      <c r="AR125" s="166">
        <f t="shared" si="281"/>
        <v>2.4474300383909546</v>
      </c>
      <c r="AS125" s="166">
        <f t="shared" si="281"/>
        <v>2.1893688924865802</v>
      </c>
      <c r="AT125" s="166">
        <f t="shared" si="281"/>
        <v>1.932121984837373</v>
      </c>
      <c r="AU125" s="166">
        <f t="shared" si="281"/>
        <v>1.7012174503239406</v>
      </c>
      <c r="AV125" s="166">
        <f t="shared" si="281"/>
        <v>1.5027527610790008</v>
      </c>
      <c r="AW125" s="166">
        <f t="shared" si="281"/>
        <v>1.3348046643086717</v>
      </c>
      <c r="AX125" s="166">
        <f t="shared" si="281"/>
        <v>1.1930393526147944</v>
      </c>
      <c r="AY125" s="166">
        <f t="shared" si="281"/>
        <v>1.0729469340503122</v>
      </c>
      <c r="AZ125" s="166">
        <f t="shared" si="281"/>
        <v>0.97057217769206716</v>
      </c>
      <c r="BA125" s="166">
        <f t="shared" si="281"/>
        <v>0.88265865991211812</v>
      </c>
      <c r="BB125" s="166">
        <f t="shared" si="281"/>
        <v>0.80659175142627271</v>
      </c>
      <c r="BC125" s="166">
        <f t="shared" si="281"/>
        <v>0.7402895481081061</v>
      </c>
      <c r="BD125" s="166">
        <f t="shared" si="281"/>
        <v>0.68209461393851456</v>
      </c>
      <c r="BE125" s="166">
        <f t="shared" si="281"/>
        <v>0.63068219362943434</v>
      </c>
      <c r="BF125" s="166">
        <f t="shared" si="281"/>
        <v>0.58498700533739989</v>
      </c>
      <c r="BG125" s="166">
        <f t="shared" si="281"/>
        <v>0.54414636510815051</v>
      </c>
      <c r="BH125" s="166">
        <f t="shared" si="281"/>
        <v>0.50745645580677567</v>
      </c>
      <c r="BI125" s="166">
        <f t="shared" si="281"/>
        <v>0.47433877941778013</v>
      </c>
      <c r="BJ125" s="166">
        <f t="shared" si="281"/>
        <v>0.44431436734636198</v>
      </c>
      <c r="BK125" s="166">
        <f t="shared" si="281"/>
        <v>0.41698386472365268</v>
      </c>
      <c r="BL125" s="166">
        <f t="shared" si="281"/>
        <v>0.39201206042532111</v>
      </c>
      <c r="BM125" s="166">
        <f t="shared" si="281"/>
        <v>0.36911579138554018</v>
      </c>
      <c r="BN125" s="166">
        <f t="shared" si="281"/>
        <v>0.34805442008803722</v>
      </c>
      <c r="BO125" s="166">
        <f t="shared" ref="BO125:CG125" si="282">ABS(BO109-BO70)</f>
        <v>0.32862228566304041</v>
      </c>
      <c r="BP125" s="166">
        <f t="shared" si="282"/>
        <v>0.31064267834054682</v>
      </c>
      <c r="BQ125" s="166">
        <f t="shared" si="282"/>
        <v>0.29396299750772548</v>
      </c>
      <c r="BR125" s="166">
        <f t="shared" si="282"/>
        <v>0.27845083554110406</v>
      </c>
      <c r="BS125" s="166">
        <f t="shared" si="282"/>
        <v>0.26399079055077335</v>
      </c>
      <c r="BT125" s="166">
        <f t="shared" si="282"/>
        <v>0.2504818567673911</v>
      </c>
      <c r="BU125" s="166">
        <f t="shared" si="282"/>
        <v>0.13340773392987293</v>
      </c>
      <c r="BV125" s="166">
        <f t="shared" si="282"/>
        <v>7.0106937351302245E-2</v>
      </c>
      <c r="BW125" s="166">
        <f t="shared" si="282"/>
        <v>3.003287146764233E-2</v>
      </c>
      <c r="BX125" s="166">
        <f t="shared" si="282"/>
        <v>1.7472737072009581E-3</v>
      </c>
      <c r="BY125" s="166">
        <f t="shared" si="282"/>
        <v>1.9920897853514363E-2</v>
      </c>
      <c r="BZ125" s="166">
        <f t="shared" si="282"/>
        <v>3.7611637065127157E-2</v>
      </c>
      <c r="CA125" s="166">
        <f t="shared" si="282"/>
        <v>5.279095042562032E-2</v>
      </c>
      <c r="CB125" s="166">
        <f t="shared" si="282"/>
        <v>6.6323538507213509E-2</v>
      </c>
      <c r="CC125" s="166">
        <f t="shared" si="282"/>
        <v>7.8742330993965326E-2</v>
      </c>
      <c r="CD125" s="166">
        <f t="shared" si="282"/>
        <v>9.0386379120070637E-2</v>
      </c>
      <c r="CE125" s="166">
        <f t="shared" si="282"/>
        <v>0.10147621662593886</v>
      </c>
      <c r="CF125" s="166">
        <f t="shared" si="282"/>
        <v>0.11215731458522438</v>
      </c>
      <c r="CG125" s="166">
        <f t="shared" si="282"/>
        <v>0.12252627264917559</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0.41235887520141018</v>
      </c>
      <c r="AF126" s="166">
        <f t="shared" si="283"/>
        <v>0</v>
      </c>
      <c r="AG126" s="166">
        <f t="shared" si="283"/>
        <v>0</v>
      </c>
      <c r="AH126" s="166">
        <f t="shared" si="283"/>
        <v>0</v>
      </c>
      <c r="AI126" s="166">
        <f t="shared" ref="AI126:BN126" si="284">IF(AI125&lt;0.05,AI25,0)</f>
        <v>0</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0</v>
      </c>
      <c r="BV126" s="166">
        <f t="shared" si="285"/>
        <v>0</v>
      </c>
      <c r="BW126" s="166">
        <f t="shared" si="285"/>
        <v>1.5546201987776334</v>
      </c>
      <c r="BX126" s="166">
        <f t="shared" si="285"/>
        <v>1.7394935983701778</v>
      </c>
      <c r="BY126" s="166">
        <f t="shared" si="285"/>
        <v>1.924366997962722</v>
      </c>
      <c r="BZ126" s="166">
        <f t="shared" si="285"/>
        <v>2.1092403975552667</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2.1092403975552667</v>
      </c>
      <c r="CJ126" s="169"/>
      <c r="CK126" s="21">
        <f>CI126*'Design Spec'!D112</f>
        <v>464.03288746215867</v>
      </c>
      <c r="CL126" s="37"/>
    </row>
    <row r="127" spans="2:90" ht="16.5" customHeight="1">
      <c r="B127" s="166" t="s">
        <v>873</v>
      </c>
      <c r="C127" s="166">
        <f t="shared" ref="C127:AH127" si="286">ABS(C110-C70)</f>
        <v>0.74951812104510818</v>
      </c>
      <c r="D127" s="166">
        <f t="shared" si="286"/>
        <v>0.74853320847530913</v>
      </c>
      <c r="E127" s="166">
        <f t="shared" si="286"/>
        <v>0.74670328354469506</v>
      </c>
      <c r="F127" s="166">
        <f t="shared" si="286"/>
        <v>0.74391812329667406</v>
      </c>
      <c r="G127" s="166">
        <f t="shared" si="286"/>
        <v>0.74015513708506664</v>
      </c>
      <c r="H127" s="166">
        <f t="shared" si="286"/>
        <v>0.73538338397269842</v>
      </c>
      <c r="I127" s="166">
        <f t="shared" si="286"/>
        <v>0.72956293137911665</v>
      </c>
      <c r="J127" s="166">
        <f t="shared" si="286"/>
        <v>0.72264400675764895</v>
      </c>
      <c r="K127" s="166">
        <f t="shared" si="286"/>
        <v>0.71456590822832133</v>
      </c>
      <c r="L127" s="166">
        <f t="shared" si="286"/>
        <v>0.70525562877545744</v>
      </c>
      <c r="M127" s="166">
        <f t="shared" si="286"/>
        <v>0.69462613420911434</v>
      </c>
      <c r="N127" s="166">
        <f t="shared" si="286"/>
        <v>0.68257421640798155</v>
      </c>
      <c r="O127" s="166">
        <f t="shared" si="286"/>
        <v>0.66897781877263141</v>
      </c>
      <c r="P127" s="166">
        <f t="shared" si="286"/>
        <v>0.65369269802139296</v>
      </c>
      <c r="Q127" s="166">
        <f t="shared" si="286"/>
        <v>0.63654824217597683</v>
      </c>
      <c r="R127" s="166">
        <f t="shared" si="286"/>
        <v>0.61734220407161322</v>
      </c>
      <c r="S127" s="166">
        <f t="shared" si="286"/>
        <v>0.59583402605371538</v>
      </c>
      <c r="T127" s="166">
        <f t="shared" si="286"/>
        <v>0.57173631441222028</v>
      </c>
      <c r="U127" s="166">
        <f t="shared" si="286"/>
        <v>0.54470385611186289</v>
      </c>
      <c r="V127" s="166">
        <f t="shared" si="286"/>
        <v>0.51431933196382673</v>
      </c>
      <c r="W127" s="166">
        <f t="shared" si="286"/>
        <v>0.48007453314369675</v>
      </c>
      <c r="X127" s="166">
        <f t="shared" si="286"/>
        <v>0.44134537470466079</v>
      </c>
      <c r="Y127" s="166">
        <f t="shared" si="286"/>
        <v>0.39735822919697983</v>
      </c>
      <c r="Z127" s="166">
        <f t="shared" si="286"/>
        <v>0.34714392765840957</v>
      </c>
      <c r="AA127" s="166">
        <f t="shared" si="286"/>
        <v>0.28947395012804</v>
      </c>
      <c r="AB127" s="166">
        <f t="shared" si="286"/>
        <v>0.22277044532626711</v>
      </c>
      <c r="AC127" s="166">
        <f t="shared" si="286"/>
        <v>0.14497708792809239</v>
      </c>
      <c r="AD127" s="166">
        <f t="shared" si="286"/>
        <v>5.3370223169145747E-2</v>
      </c>
      <c r="AE127" s="166">
        <f t="shared" si="286"/>
        <v>5.5722735657532829E-2</v>
      </c>
      <c r="AF127" s="166">
        <f t="shared" si="286"/>
        <v>0.18735136952686471</v>
      </c>
      <c r="AG127" s="166">
        <f t="shared" si="286"/>
        <v>0.34860410692779287</v>
      </c>
      <c r="AH127" s="166">
        <f t="shared" si="286"/>
        <v>0.54964182480742252</v>
      </c>
      <c r="AI127" s="166">
        <f t="shared" ref="AI127:BN127" si="287">ABS(AI110-AI70)</f>
        <v>0.80529761019020973</v>
      </c>
      <c r="AJ127" s="166">
        <f t="shared" si="287"/>
        <v>1.1374009757188448</v>
      </c>
      <c r="AK127" s="166">
        <f t="shared" si="287"/>
        <v>1.5773459011635795</v>
      </c>
      <c r="AL127" s="166">
        <f t="shared" si="287"/>
        <v>2.1649178975508248</v>
      </c>
      <c r="AM127" s="166">
        <f t="shared" si="287"/>
        <v>2.9249451479739883</v>
      </c>
      <c r="AN127" s="166">
        <f t="shared" si="287"/>
        <v>3.7685107024560391</v>
      </c>
      <c r="AO127" s="166">
        <f t="shared" si="287"/>
        <v>4.3315197961905971</v>
      </c>
      <c r="AP127" s="166">
        <f t="shared" si="287"/>
        <v>4.3614430629703236</v>
      </c>
      <c r="AQ127" s="166">
        <f t="shared" si="287"/>
        <v>3.9538734087828757</v>
      </c>
      <c r="AR127" s="166">
        <f t="shared" si="287"/>
        <v>3.3212961577928173</v>
      </c>
      <c r="AS127" s="166">
        <f t="shared" si="287"/>
        <v>2.7437794460395719</v>
      </c>
      <c r="AT127" s="166">
        <f t="shared" si="287"/>
        <v>2.2851721109244458</v>
      </c>
      <c r="AU127" s="166">
        <f t="shared" si="287"/>
        <v>1.9316672452513193</v>
      </c>
      <c r="AV127" s="166">
        <f t="shared" si="287"/>
        <v>1.6577139249909063</v>
      </c>
      <c r="AW127" s="166">
        <f t="shared" si="287"/>
        <v>1.4420097143403923</v>
      </c>
      <c r="AX127" s="166">
        <f t="shared" si="287"/>
        <v>1.269084367904155</v>
      </c>
      <c r="AY127" s="166">
        <f t="shared" si="287"/>
        <v>1.1280412998017058</v>
      </c>
      <c r="AZ127" s="166">
        <f t="shared" si="287"/>
        <v>1.0111891972342506</v>
      </c>
      <c r="BA127" s="166">
        <f t="shared" si="287"/>
        <v>0.91302561395990012</v>
      </c>
      <c r="BB127" s="166">
        <f t="shared" si="287"/>
        <v>0.82954603342038602</v>
      </c>
      <c r="BC127" s="166">
        <f t="shared" si="287"/>
        <v>0.75778392150176399</v>
      </c>
      <c r="BD127" s="166">
        <f t="shared" si="287"/>
        <v>0.69550376524377955</v>
      </c>
      <c r="BE127" s="166">
        <f t="shared" si="287"/>
        <v>0.64099378322567591</v>
      </c>
      <c r="BF127" s="166">
        <f t="shared" si="287"/>
        <v>0.59292377776415417</v>
      </c>
      <c r="BG127" s="166">
        <f t="shared" si="287"/>
        <v>0.55024604375481989</v>
      </c>
      <c r="BH127" s="166">
        <f t="shared" si="287"/>
        <v>0.51212515496641664</v>
      </c>
      <c r="BI127" s="166">
        <f t="shared" si="287"/>
        <v>0.47788742487882307</v>
      </c>
      <c r="BJ127" s="166">
        <f t="shared" si="287"/>
        <v>0.44698398518540727</v>
      </c>
      <c r="BK127" s="166">
        <f t="shared" si="287"/>
        <v>0.41896343515743861</v>
      </c>
      <c r="BL127" s="166">
        <f t="shared" si="287"/>
        <v>0.39345131661943811</v>
      </c>
      <c r="BM127" s="166">
        <f t="shared" si="287"/>
        <v>0.3701345243183819</v>
      </c>
      <c r="BN127" s="166">
        <f t="shared" si="287"/>
        <v>0.34874933146842724</v>
      </c>
      <c r="BO127" s="166">
        <f t="shared" ref="BO127:CG127" si="288">ABS(BO110-BO70)</f>
        <v>0.32907209575451735</v>
      </c>
      <c r="BP127" s="166">
        <f t="shared" si="288"/>
        <v>0.31091197545824401</v>
      </c>
      <c r="BQ127" s="166">
        <f t="shared" si="288"/>
        <v>0.29410516911509677</v>
      </c>
      <c r="BR127" s="166">
        <f t="shared" si="288"/>
        <v>0.27851032144442522</v>
      </c>
      <c r="BS127" s="166">
        <f t="shared" si="288"/>
        <v>0.2640048304248247</v>
      </c>
      <c r="BT127" s="166">
        <f t="shared" si="288"/>
        <v>0.2504818567673911</v>
      </c>
      <c r="BU127" s="166">
        <f t="shared" si="288"/>
        <v>0.1346757107689015</v>
      </c>
      <c r="BV127" s="166">
        <f t="shared" si="288"/>
        <v>7.3694240935276101E-2</v>
      </c>
      <c r="BW127" s="166">
        <f t="shared" si="288"/>
        <v>3.6332501840163012E-2</v>
      </c>
      <c r="BX127" s="166">
        <f t="shared" si="288"/>
        <v>1.1012740104792473E-2</v>
      </c>
      <c r="BY127" s="166">
        <f t="shared" si="288"/>
        <v>7.4882242534810572E-3</v>
      </c>
      <c r="BZ127" s="166">
        <f t="shared" si="288"/>
        <v>2.1843951022696984E-2</v>
      </c>
      <c r="CA127" s="166">
        <f t="shared" si="288"/>
        <v>3.3549703782632778E-2</v>
      </c>
      <c r="CB127" s="166">
        <f t="shared" si="288"/>
        <v>4.3498284003612331E-2</v>
      </c>
      <c r="CC127" s="166">
        <f t="shared" si="288"/>
        <v>5.2250045815050994E-2</v>
      </c>
      <c r="CD127" s="166">
        <f t="shared" si="288"/>
        <v>6.0170598108909679E-2</v>
      </c>
      <c r="CE127" s="166">
        <f t="shared" si="288"/>
        <v>6.7505843827089129E-2</v>
      </c>
      <c r="CF127" s="166">
        <f t="shared" si="288"/>
        <v>7.4425135379233787E-2</v>
      </c>
      <c r="CG127" s="166">
        <f t="shared" si="288"/>
        <v>8.1047230219779443E-2</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0</v>
      </c>
      <c r="BV128" s="166">
        <f t="shared" si="291"/>
        <v>0</v>
      </c>
      <c r="BW128" s="166">
        <f t="shared" si="291"/>
        <v>1.5546201987776334</v>
      </c>
      <c r="BX128" s="166">
        <f t="shared" si="291"/>
        <v>1.7394935983701778</v>
      </c>
      <c r="BY128" s="166">
        <f t="shared" si="291"/>
        <v>1.924366997962722</v>
      </c>
      <c r="BZ128" s="166">
        <f t="shared" si="291"/>
        <v>2.1092403975552667</v>
      </c>
      <c r="CA128" s="166">
        <f t="shared" si="291"/>
        <v>2.2941137971478112</v>
      </c>
      <c r="CB128" s="166">
        <f t="shared" si="291"/>
        <v>2.4789871967403556</v>
      </c>
      <c r="CC128" s="166">
        <f t="shared" si="291"/>
        <v>0</v>
      </c>
      <c r="CD128" s="166">
        <f t="shared" si="291"/>
        <v>0</v>
      </c>
      <c r="CE128" s="166">
        <f t="shared" si="291"/>
        <v>0</v>
      </c>
      <c r="CF128" s="166">
        <f t="shared" si="291"/>
        <v>0</v>
      </c>
      <c r="CG128" s="166">
        <f t="shared" si="291"/>
        <v>0</v>
      </c>
      <c r="CH128" s="166"/>
      <c r="CI128" s="167">
        <f>MAX(C128:CG128)</f>
        <v>2.4789871967403556</v>
      </c>
      <c r="CJ128" s="169"/>
      <c r="CK128" s="21">
        <f>CI128*'Design Spec'!D112</f>
        <v>545.37718328287826</v>
      </c>
      <c r="CL128" s="37"/>
    </row>
    <row r="129" spans="2:90" ht="16.5" customHeight="1">
      <c r="B129" s="166" t="s">
        <v>874</v>
      </c>
      <c r="C129" s="166">
        <f t="shared" ref="C129:AH129" si="292">ABS(C111-C70)</f>
        <v>0.74951812104510818</v>
      </c>
      <c r="D129" s="166">
        <f t="shared" si="292"/>
        <v>0.74853318803641677</v>
      </c>
      <c r="E129" s="166">
        <f t="shared" si="292"/>
        <v>0.74670311643737741</v>
      </c>
      <c r="F129" s="166">
        <f t="shared" si="292"/>
        <v>0.74391746088121846</v>
      </c>
      <c r="G129" s="166">
        <f t="shared" si="292"/>
        <v>0.7401532814740206</v>
      </c>
      <c r="H129" s="166">
        <f t="shared" si="292"/>
        <v>0.73537914381647396</v>
      </c>
      <c r="I129" s="166">
        <f t="shared" si="292"/>
        <v>0.72955445285346987</v>
      </c>
      <c r="J129" s="166">
        <f t="shared" si="292"/>
        <v>0.72262857036044115</v>
      </c>
      <c r="K129" s="166">
        <f t="shared" si="292"/>
        <v>0.71453967945079855</v>
      </c>
      <c r="L129" s="166">
        <f t="shared" si="292"/>
        <v>0.70521334713703177</v>
      </c>
      <c r="M129" s="166">
        <f t="shared" si="292"/>
        <v>0.69456072013437764</v>
      </c>
      <c r="N129" s="166">
        <f t="shared" si="292"/>
        <v>0.68247626838955355</v>
      </c>
      <c r="O129" s="166">
        <f t="shared" si="292"/>
        <v>0.66883496332468817</v>
      </c>
      <c r="P129" s="166">
        <f t="shared" si="292"/>
        <v>0.65348874076641528</v>
      </c>
      <c r="Q129" s="166">
        <f t="shared" si="292"/>
        <v>0.6362620480149257</v>
      </c>
      <c r="R129" s="166">
        <f t="shared" si="292"/>
        <v>0.61694620467331818</v>
      </c>
      <c r="S129" s="166">
        <f t="shared" si="292"/>
        <v>0.59529220902563262</v>
      </c>
      <c r="T129" s="166">
        <f t="shared" si="292"/>
        <v>0.57100148278988738</v>
      </c>
      <c r="U129" s="166">
        <f t="shared" si="292"/>
        <v>0.54371384677721291</v>
      </c>
      <c r="V129" s="166">
        <f t="shared" si="292"/>
        <v>0.51299172672611704</v>
      </c>
      <c r="W129" s="166">
        <f t="shared" si="292"/>
        <v>0.47829915186760735</v>
      </c>
      <c r="X129" s="166">
        <f t="shared" si="292"/>
        <v>0.43897344636024116</v>
      </c>
      <c r="Y129" s="166">
        <f t="shared" si="292"/>
        <v>0.39418648854934796</v>
      </c>
      <c r="Z129" s="166">
        <f t="shared" si="292"/>
        <v>0.34289079094171765</v>
      </c>
      <c r="AA129" s="166">
        <f t="shared" si="292"/>
        <v>0.28374302399080881</v>
      </c>
      <c r="AB129" s="166">
        <f t="shared" si="292"/>
        <v>0.2149932263224108</v>
      </c>
      <c r="AC129" s="166">
        <f t="shared" si="292"/>
        <v>0.13432042418977164</v>
      </c>
      <c r="AD129" s="166">
        <f t="shared" si="292"/>
        <v>3.8582030424638147E-2</v>
      </c>
      <c r="AE129" s="166">
        <f t="shared" si="292"/>
        <v>7.6580235051776357E-2</v>
      </c>
      <c r="AF129" s="166">
        <f t="shared" si="292"/>
        <v>0.21738258328008742</v>
      </c>
      <c r="AG129" s="166">
        <f t="shared" si="292"/>
        <v>0.39299011086570712</v>
      </c>
      <c r="AH129" s="166">
        <f t="shared" si="292"/>
        <v>0.61746188855282302</v>
      </c>
      <c r="AI129" s="166">
        <f t="shared" ref="AI129:BN129" si="293">ABS(AI111-AI70)</f>
        <v>0.91342124025804783</v>
      </c>
      <c r="AJ129" s="166">
        <f t="shared" si="293"/>
        <v>1.3194530760740166</v>
      </c>
      <c r="AK129" s="166">
        <f t="shared" si="293"/>
        <v>1.9061448287737637</v>
      </c>
      <c r="AL129" s="166">
        <f t="shared" si="293"/>
        <v>2.813212839883632</v>
      </c>
      <c r="AM129" s="166">
        <f t="shared" si="293"/>
        <v>4.3323823500483165</v>
      </c>
      <c r="AN129" s="166">
        <f t="shared" si="293"/>
        <v>6.9350164403703474</v>
      </c>
      <c r="AO129" s="166">
        <f t="shared" si="293"/>
        <v>9.412451048862291</v>
      </c>
      <c r="AP129" s="166">
        <f t="shared" si="293"/>
        <v>8.8882989560613179</v>
      </c>
      <c r="AQ129" s="166">
        <f t="shared" si="293"/>
        <v>6.2679932177954356</v>
      </c>
      <c r="AR129" s="166">
        <f t="shared" si="293"/>
        <v>4.3908362579707925</v>
      </c>
      <c r="AS129" s="166">
        <f t="shared" si="293"/>
        <v>3.2780991270178674</v>
      </c>
      <c r="AT129" s="166">
        <f t="shared" si="293"/>
        <v>2.5782515984848451</v>
      </c>
      <c r="AU129" s="166">
        <f t="shared" si="293"/>
        <v>2.1056270901499063</v>
      </c>
      <c r="AV129" s="166">
        <f t="shared" si="293"/>
        <v>1.7675967709751164</v>
      </c>
      <c r="AW129" s="166">
        <f t="shared" si="293"/>
        <v>1.5148581834636889</v>
      </c>
      <c r="AX129" s="166">
        <f t="shared" si="293"/>
        <v>1.3192344159912102</v>
      </c>
      <c r="AY129" s="166">
        <f t="shared" si="293"/>
        <v>1.1635970917827918</v>
      </c>
      <c r="AZ129" s="166">
        <f t="shared" si="293"/>
        <v>1.0369854334035598</v>
      </c>
      <c r="BA129" s="166">
        <f t="shared" si="293"/>
        <v>0.93208006459827775</v>
      </c>
      <c r="BB129" s="166">
        <f t="shared" si="293"/>
        <v>0.84381597173969325</v>
      </c>
      <c r="BC129" s="166">
        <f t="shared" si="293"/>
        <v>0.76858107289676425</v>
      </c>
      <c r="BD129" s="166">
        <f t="shared" si="293"/>
        <v>0.70373240239259671</v>
      </c>
      <c r="BE129" s="166">
        <f t="shared" si="293"/>
        <v>0.64729278909852417</v>
      </c>
      <c r="BF129" s="166">
        <f t="shared" si="293"/>
        <v>0.5977543565962703</v>
      </c>
      <c r="BG129" s="166">
        <f t="shared" si="293"/>
        <v>0.55394752769487721</v>
      </c>
      <c r="BH129" s="166">
        <f t="shared" si="293"/>
        <v>0.51495146927800828</v>
      </c>
      <c r="BI129" s="166">
        <f t="shared" si="293"/>
        <v>0.48003148655422401</v>
      </c>
      <c r="BJ129" s="166">
        <f t="shared" si="293"/>
        <v>0.44859437801042257</v>
      </c>
      <c r="BK129" s="166">
        <f t="shared" si="293"/>
        <v>0.4201560258655993</v>
      </c>
      <c r="BL129" s="166">
        <f t="shared" si="293"/>
        <v>0.39431748780772946</v>
      </c>
      <c r="BM129" s="166">
        <f t="shared" si="293"/>
        <v>0.37074710166764013</v>
      </c>
      <c r="BN129" s="166">
        <f t="shared" si="293"/>
        <v>0.34916691239246533</v>
      </c>
      <c r="BO129" s="166">
        <f t="shared" ref="BO129:CG129" si="294">ABS(BO111-BO70)</f>
        <v>0.32934225219727498</v>
      </c>
      <c r="BP129" s="166">
        <f t="shared" si="294"/>
        <v>0.31107365226630057</v>
      </c>
      <c r="BQ129" s="166">
        <f t="shared" si="294"/>
        <v>0.29419049997812785</v>
      </c>
      <c r="BR129" s="166">
        <f t="shared" si="294"/>
        <v>0.27854601794370548</v>
      </c>
      <c r="BS129" s="166">
        <f t="shared" si="294"/>
        <v>0.26401325462932734</v>
      </c>
      <c r="BT129" s="166">
        <f t="shared" si="294"/>
        <v>0.2504818567673911</v>
      </c>
      <c r="BU129" s="166">
        <f t="shared" si="294"/>
        <v>0.13543912407329617</v>
      </c>
      <c r="BV129" s="166">
        <f t="shared" si="294"/>
        <v>7.5869364922226734E-2</v>
      </c>
      <c r="BW129" s="166">
        <f t="shared" si="294"/>
        <v>4.0186386099206439E-2</v>
      </c>
      <c r="BX129" s="166">
        <f t="shared" si="294"/>
        <v>1.6739323913769866E-2</v>
      </c>
      <c r="BY129" s="166">
        <f t="shared" si="294"/>
        <v>2.8355104986277357E-4</v>
      </c>
      <c r="BZ129" s="166">
        <f t="shared" si="294"/>
        <v>1.1865137016440208E-2</v>
      </c>
      <c r="CA129" s="166">
        <f t="shared" si="294"/>
        <v>2.1210502432470468E-2</v>
      </c>
      <c r="CB129" s="166">
        <f t="shared" si="294"/>
        <v>2.8653779832429338E-2</v>
      </c>
      <c r="CC129" s="166">
        <f t="shared" si="294"/>
        <v>3.4764161521110171E-2</v>
      </c>
      <c r="CD129" s="166">
        <f t="shared" si="294"/>
        <v>3.9916536312565642E-2</v>
      </c>
      <c r="CE129" s="166">
        <f t="shared" si="294"/>
        <v>4.4366448703504147E-2</v>
      </c>
      <c r="CF129" s="166">
        <f t="shared" si="294"/>
        <v>4.8293149035518734E-2</v>
      </c>
      <c r="CG129" s="166">
        <f t="shared" si="294"/>
        <v>5.1825445622518895E-2</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0.39786612157822177</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0</v>
      </c>
      <c r="BV130" s="166">
        <f t="shared" si="297"/>
        <v>0</v>
      </c>
      <c r="BW130" s="166">
        <f t="shared" si="297"/>
        <v>1.5546201987776334</v>
      </c>
      <c r="BX130" s="166">
        <f t="shared" si="297"/>
        <v>1.7394935983701778</v>
      </c>
      <c r="BY130" s="166">
        <f t="shared" si="297"/>
        <v>1.924366997962722</v>
      </c>
      <c r="BZ130" s="166">
        <f t="shared" si="297"/>
        <v>2.1092403975552667</v>
      </c>
      <c r="CA130" s="166">
        <f t="shared" si="297"/>
        <v>2.2941137971478112</v>
      </c>
      <c r="CB130" s="166">
        <f t="shared" si="297"/>
        <v>2.4789871967403556</v>
      </c>
      <c r="CC130" s="166">
        <f t="shared" si="297"/>
        <v>2.6638605963328996</v>
      </c>
      <c r="CD130" s="166">
        <f t="shared" si="297"/>
        <v>2.8487339959254441</v>
      </c>
      <c r="CE130" s="166">
        <f t="shared" si="297"/>
        <v>3.0336073955179885</v>
      </c>
      <c r="CF130" s="166">
        <f t="shared" si="297"/>
        <v>3.218480795110533</v>
      </c>
      <c r="CG130" s="166">
        <f t="shared" si="297"/>
        <v>0</v>
      </c>
      <c r="CH130" s="166"/>
      <c r="CI130" s="167">
        <f>MAX(C130:CG130)</f>
        <v>3.218480795110533</v>
      </c>
      <c r="CJ130" s="170"/>
      <c r="CK130" s="21">
        <f>CI130*'Design Spec'!D112</f>
        <v>708.06577492431722</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1.0167142635267854</v>
      </c>
      <c r="D138" s="10">
        <f t="shared" si="298"/>
        <v>1.0157297594678187</v>
      </c>
      <c r="E138" s="10">
        <f t="shared" si="298"/>
        <v>1.0139027619356356</v>
      </c>
      <c r="F138" s="10">
        <f t="shared" si="298"/>
        <v>1.0111274649248454</v>
      </c>
      <c r="G138" s="10">
        <f t="shared" si="298"/>
        <v>1.0073881616824094</v>
      </c>
      <c r="H138" s="10">
        <f t="shared" si="298"/>
        <v>1.0026635364841883</v>
      </c>
      <c r="I138" s="10">
        <f t="shared" si="298"/>
        <v>0.99692640782057895</v>
      </c>
      <c r="J138" s="10">
        <f t="shared" si="298"/>
        <v>0.99014340017868241</v>
      </c>
      <c r="K138" s="10">
        <f t="shared" si="298"/>
        <v>0.98227454028128702</v>
      </c>
      <c r="L138" s="10">
        <f t="shared" si="298"/>
        <v>0.9732727730758679</v>
      </c>
      <c r="M138" s="10">
        <f t="shared" si="298"/>
        <v>0.96308339245374264</v>
      </c>
      <c r="N138" s="10">
        <f t="shared" si="298"/>
        <v>0.95164338177363916</v>
      </c>
      <c r="O138" s="10">
        <f t="shared" si="298"/>
        <v>0.93888065999644599</v>
      </c>
      <c r="P138" s="10">
        <f t="shared" si="298"/>
        <v>0.92471323095366442</v>
      </c>
      <c r="Q138" s="10">
        <f t="shared" si="298"/>
        <v>0.90904823648026123</v>
      </c>
      <c r="R138" s="10">
        <f t="shared" si="298"/>
        <v>0.89178091958873074</v>
      </c>
      <c r="S138" s="10">
        <f t="shared" si="298"/>
        <v>0.87279351262795479</v>
      </c>
      <c r="T138" s="10">
        <f t="shared" si="298"/>
        <v>0.85195407901705122</v>
      </c>
      <c r="U138" s="10">
        <f t="shared" si="298"/>
        <v>0.82911535789407598</v>
      </c>
      <c r="V138" s="10">
        <f t="shared" si="298"/>
        <v>0.804113692003253</v>
      </c>
      <c r="W138" s="10">
        <f t="shared" si="298"/>
        <v>0.77676816469948551</v>
      </c>
      <c r="X138" s="10">
        <f t="shared" si="298"/>
        <v>0.74688013794471031</v>
      </c>
      <c r="Y138" s="10">
        <f t="shared" si="298"/>
        <v>0.71423347728125974</v>
      </c>
      <c r="Z138" s="10">
        <f t="shared" si="298"/>
        <v>0.67859588149426719</v>
      </c>
      <c r="AA138" s="10">
        <f t="shared" si="298"/>
        <v>0.6397219147080011</v>
      </c>
      <c r="AB138" s="10">
        <f t="shared" si="298"/>
        <v>0.5973585767777686</v>
      </c>
      <c r="AC138" s="10">
        <f t="shared" si="298"/>
        <v>0.55125454791284967</v>
      </c>
      <c r="AD138" s="10">
        <f t="shared" si="298"/>
        <v>0.5011745932357009</v>
      </c>
      <c r="AE138" s="10">
        <f t="shared" si="298"/>
        <v>0.44692096523816127</v>
      </c>
      <c r="AF138" s="10">
        <f t="shared" si="298"/>
        <v>0.38836388364400887</v>
      </c>
      <c r="AG138" s="10">
        <f t="shared" si="298"/>
        <v>0.32548307964989243</v>
      </c>
      <c r="AH138" s="10">
        <f t="shared" si="298"/>
        <v>0.2584215834365059</v>
      </c>
      <c r="AI138" s="10">
        <f t="shared" ref="AI138:BN138" si="299">ABS(AI47-AI53)</f>
        <v>0.18755085437377117</v>
      </c>
      <c r="AJ138" s="10">
        <f t="shared" si="299"/>
        <v>0.11354236974216148</v>
      </c>
      <c r="AK138" s="10">
        <f t="shared" si="299"/>
        <v>3.7434538197532508E-2</v>
      </c>
      <c r="AL138" s="10">
        <f t="shared" si="299"/>
        <v>3.9324077519468537E-2</v>
      </c>
      <c r="AM138" s="10">
        <f t="shared" si="299"/>
        <v>0.11488113475103723</v>
      </c>
      <c r="AN138" s="10">
        <f t="shared" si="299"/>
        <v>0.1870631411720558</v>
      </c>
      <c r="AO138" s="10">
        <f t="shared" si="299"/>
        <v>0.25354936667888484</v>
      </c>
      <c r="AP138" s="10">
        <f t="shared" si="299"/>
        <v>0.28671310123715199</v>
      </c>
      <c r="AQ138" s="10">
        <f t="shared" si="299"/>
        <v>0.34015264672909518</v>
      </c>
      <c r="AR138" s="10">
        <f t="shared" si="299"/>
        <v>0.38312074559184772</v>
      </c>
      <c r="AS138" s="10">
        <f t="shared" si="299"/>
        <v>0.41484914998934919</v>
      </c>
      <c r="AT138" s="10">
        <f t="shared" si="299"/>
        <v>0.43535639852004882</v>
      </c>
      <c r="AU138" s="10">
        <f t="shared" si="299"/>
        <v>0.44536230098298835</v>
      </c>
      <c r="AV138" s="10">
        <f t="shared" si="299"/>
        <v>0.44609944855777517</v>
      </c>
      <c r="AW138" s="10">
        <f t="shared" si="299"/>
        <v>0.43908526178491769</v>
      </c>
      <c r="AX138" s="10">
        <f t="shared" si="299"/>
        <v>0.42591245842459835</v>
      </c>
      <c r="AY138" s="10">
        <f t="shared" si="299"/>
        <v>0.4080922819771422</v>
      </c>
      <c r="AZ138" s="10">
        <f t="shared" si="299"/>
        <v>0.38695942251250282</v>
      </c>
      <c r="BA138" s="10">
        <f t="shared" si="299"/>
        <v>0.36363032802056661</v>
      </c>
      <c r="BB138" s="10">
        <f t="shared" si="299"/>
        <v>0.33899943956266498</v>
      </c>
      <c r="BC138" s="10">
        <f t="shared" si="299"/>
        <v>0.31375791110080464</v>
      </c>
      <c r="BD138" s="10">
        <f t="shared" si="299"/>
        <v>0.28842280301257328</v>
      </c>
      <c r="BE138" s="10">
        <f t="shared" si="299"/>
        <v>0.26336884358901624</v>
      </c>
      <c r="BF138" s="10">
        <f t="shared" si="299"/>
        <v>0.23885829456537833</v>
      </c>
      <c r="BG138" s="10">
        <f t="shared" si="299"/>
        <v>0.21506686101401673</v>
      </c>
      <c r="BH138" s="10">
        <f t="shared" si="299"/>
        <v>0.19210505582618786</v>
      </c>
      <c r="BI138" s="10">
        <f t="shared" si="299"/>
        <v>0.17003521810721267</v>
      </c>
      <c r="BJ138" s="10">
        <f t="shared" si="299"/>
        <v>0.14888473874909081</v>
      </c>
      <c r="BK138" s="10">
        <f t="shared" si="299"/>
        <v>0.12865615025663968</v>
      </c>
      <c r="BL138" s="10">
        <f t="shared" si="299"/>
        <v>0.10933471332111822</v>
      </c>
      <c r="BM138" s="10">
        <f t="shared" si="299"/>
        <v>9.0894052374939971E-2</v>
      </c>
      <c r="BN138" s="10">
        <f t="shared" si="299"/>
        <v>7.3300296227579498E-2</v>
      </c>
      <c r="BO138" s="10">
        <f t="shared" ref="BO138:CG138" si="300">ABS(BO47-BO53)</f>
        <v>5.6515087539571907E-2</v>
      </c>
      <c r="BP138" s="10">
        <f t="shared" si="300"/>
        <v>4.0497744562718596E-2</v>
      </c>
      <c r="BQ138" s="10">
        <f t="shared" si="300"/>
        <v>2.5206792458490002E-2</v>
      </c>
      <c r="BR138" s="10">
        <f t="shared" si="300"/>
        <v>1.0601028922596623E-2</v>
      </c>
      <c r="BS138" s="10">
        <f t="shared" si="300"/>
        <v>3.3597520467987252E-3</v>
      </c>
      <c r="BT138" s="10">
        <f t="shared" si="300"/>
        <v>1.6714285714285904E-2</v>
      </c>
      <c r="BU138" s="10">
        <f t="shared" si="300"/>
        <v>0.14738549622421848</v>
      </c>
      <c r="BV138" s="10">
        <f t="shared" si="300"/>
        <v>0.23368630489874198</v>
      </c>
      <c r="BW138" s="10">
        <f t="shared" si="300"/>
        <v>0.2977536435634015</v>
      </c>
      <c r="BX138" s="10">
        <f t="shared" si="300"/>
        <v>0.34912479621741477</v>
      </c>
      <c r="BY138" s="10">
        <f t="shared" si="300"/>
        <v>0.39235580602645159</v>
      </c>
      <c r="BZ138" s="10">
        <f t="shared" si="300"/>
        <v>0.42985192487043544</v>
      </c>
      <c r="CA138" s="10">
        <f t="shared" si="300"/>
        <v>0.46300460011544597</v>
      </c>
      <c r="CB138" s="10">
        <f t="shared" si="300"/>
        <v>0.49268962638325731</v>
      </c>
      <c r="CC138" s="10">
        <f t="shared" si="300"/>
        <v>0.51950183823877705</v>
      </c>
      <c r="CD138" s="10">
        <f t="shared" si="300"/>
        <v>0.5438725676663696</v>
      </c>
      <c r="CE138" s="10">
        <f t="shared" si="300"/>
        <v>0.56613163838927927</v>
      </c>
      <c r="CF138" s="10">
        <f t="shared" si="300"/>
        <v>0.58654177159683885</v>
      </c>
      <c r="CG138" s="10">
        <f t="shared" si="300"/>
        <v>0.60531866421908997</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v>
      </c>
      <c r="AS139" s="10">
        <f t="shared" si="302"/>
        <v>0</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v>
      </c>
      <c r="BI139" s="10">
        <f t="shared" si="302"/>
        <v>0</v>
      </c>
      <c r="BJ139" s="10">
        <f t="shared" si="302"/>
        <v>0</v>
      </c>
      <c r="BK139" s="10">
        <f t="shared" si="302"/>
        <v>0</v>
      </c>
      <c r="BL139" s="10">
        <f t="shared" si="302"/>
        <v>0</v>
      </c>
      <c r="BM139" s="10">
        <f t="shared" si="302"/>
        <v>0</v>
      </c>
      <c r="BN139" s="10">
        <f t="shared" si="302"/>
        <v>0</v>
      </c>
      <c r="BO139" s="10">
        <f t="shared" ref="BO139:CG139" si="303">IF(BO138&lt;0.03,BO25,0)</f>
        <v>0</v>
      </c>
      <c r="BP139" s="10">
        <f t="shared" si="303"/>
        <v>0</v>
      </c>
      <c r="BQ139" s="10">
        <f t="shared" si="303"/>
        <v>0.95652173913043492</v>
      </c>
      <c r="BR139" s="10">
        <f t="shared" si="303"/>
        <v>0.97101449275362328</v>
      </c>
      <c r="BS139" s="10">
        <f t="shared" si="303"/>
        <v>0.98550724637681164</v>
      </c>
      <c r="BT139" s="10">
        <f t="shared" si="303"/>
        <v>1</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1</v>
      </c>
      <c r="CJ139" s="10">
        <f>3.14/2</f>
        <v>1.57</v>
      </c>
    </row>
    <row r="140" spans="2:90" ht="16.5" customHeight="1">
      <c r="C140" s="10">
        <f t="shared" ref="C140:AH140" si="304">ABS(C49-C55)</f>
        <v>1.1740005109046616</v>
      </c>
      <c r="D140" s="10">
        <f t="shared" si="304"/>
        <v>1.1730158162705733</v>
      </c>
      <c r="E140" s="10">
        <f t="shared" si="304"/>
        <v>1.1711874540325722</v>
      </c>
      <c r="F140" s="10">
        <f t="shared" si="304"/>
        <v>1.1684075643276508</v>
      </c>
      <c r="G140" s="10">
        <f t="shared" si="304"/>
        <v>1.1646572517404887</v>
      </c>
      <c r="H140" s="10">
        <f t="shared" si="304"/>
        <v>1.1599107660848476</v>
      </c>
      <c r="I140" s="10">
        <f t="shared" si="304"/>
        <v>1.1541350918234243</v>
      </c>
      <c r="J140" s="10">
        <f t="shared" si="304"/>
        <v>1.1472894143833285</v>
      </c>
      <c r="K140" s="10">
        <f t="shared" si="304"/>
        <v>1.1393244495525079</v>
      </c>
      <c r="L140" s="10">
        <f t="shared" si="304"/>
        <v>1.1301816184783287</v>
      </c>
      <c r="M140" s="10">
        <f t="shared" si="304"/>
        <v>1.1197920466408782</v>
      </c>
      <c r="N140" s="10">
        <f t="shared" si="304"/>
        <v>1.108075360473705</v>
      </c>
      <c r="O140" s="10">
        <f t="shared" si="304"/>
        <v>1.0949382500190219</v>
      </c>
      <c r="P140" s="10">
        <f t="shared" si="304"/>
        <v>1.0802727601630802</v>
      </c>
      <c r="Q140" s="10">
        <f t="shared" si="304"/>
        <v>1.0639542667529729</v>
      </c>
      <c r="R140" s="10">
        <f t="shared" si="304"/>
        <v>1.045839087620956</v>
      </c>
      <c r="S140" s="10">
        <f t="shared" si="304"/>
        <v>1.0257616729943115</v>
      </c>
      <c r="T140" s="10">
        <f t="shared" si="304"/>
        <v>1.0035313163677237</v>
      </c>
      <c r="U140" s="10">
        <f t="shared" si="304"/>
        <v>0.97892832820397768</v>
      </c>
      <c r="V140" s="10">
        <f t="shared" si="304"/>
        <v>0.95169962523547813</v>
      </c>
      <c r="W140" s="10">
        <f t="shared" si="304"/>
        <v>0.92155371522937624</v>
      </c>
      <c r="X140" s="10">
        <f t="shared" si="304"/>
        <v>0.88815511359608112</v>
      </c>
      <c r="Y140" s="10">
        <f t="shared" si="304"/>
        <v>0.85111833536227677</v>
      </c>
      <c r="Z140" s="10">
        <f t="shared" si="304"/>
        <v>0.81000179860161736</v>
      </c>
      <c r="AA140" s="10">
        <f t="shared" si="304"/>
        <v>0.76430230966064228</v>
      </c>
      <c r="AB140" s="10">
        <f t="shared" si="304"/>
        <v>0.71345136527827635</v>
      </c>
      <c r="AC140" s="10">
        <f t="shared" si="304"/>
        <v>0.65681543749174287</v>
      </c>
      <c r="AD140" s="10">
        <f t="shared" si="304"/>
        <v>0.59370389892711195</v>
      </c>
      <c r="AE140" s="10">
        <f t="shared" si="304"/>
        <v>0.52339054933251716</v>
      </c>
      <c r="AF140" s="10">
        <f t="shared" si="304"/>
        <v>0.4451580651709427</v>
      </c>
      <c r="AG140" s="10">
        <f t="shared" si="304"/>
        <v>0.35837914358646661</v>
      </c>
      <c r="AH140" s="10">
        <f t="shared" si="304"/>
        <v>0.26265291896089982</v>
      </c>
      <c r="AI140" s="10">
        <f t="shared" ref="AI140:BN140" si="305">ABS(AI49-AI55)</f>
        <v>0.15801774153029968</v>
      </c>
      <c r="AJ140" s="10">
        <f t="shared" si="305"/>
        <v>4.5255130595292847E-2</v>
      </c>
      <c r="AK140" s="10">
        <f t="shared" si="305"/>
        <v>7.3727445649159229E-2</v>
      </c>
      <c r="AL140" s="10">
        <f t="shared" si="305"/>
        <v>0.19551054555768665</v>
      </c>
      <c r="AM140" s="10">
        <f t="shared" si="305"/>
        <v>0.31495072807173496</v>
      </c>
      <c r="AN140" s="10">
        <f t="shared" si="305"/>
        <v>0.42541344034127038</v>
      </c>
      <c r="AO140" s="10">
        <f t="shared" si="305"/>
        <v>0.51968404863801432</v>
      </c>
      <c r="AP140" s="10">
        <f t="shared" si="305"/>
        <v>0.56207572548650431</v>
      </c>
      <c r="AQ140" s="10">
        <f t="shared" si="305"/>
        <v>0.61979995283398126</v>
      </c>
      <c r="AR140" s="10">
        <f t="shared" si="305"/>
        <v>0.65072665944095176</v>
      </c>
      <c r="AS140" s="10">
        <f t="shared" si="305"/>
        <v>0.65637300237095464</v>
      </c>
      <c r="AT140" s="10">
        <f t="shared" si="305"/>
        <v>0.64083521732764015</v>
      </c>
      <c r="AU140" s="10">
        <f t="shared" si="305"/>
        <v>0.60941411805128842</v>
      </c>
      <c r="AV140" s="10">
        <f t="shared" si="305"/>
        <v>0.56737209949868705</v>
      </c>
      <c r="AW140" s="10">
        <f t="shared" si="305"/>
        <v>0.51917704249121521</v>
      </c>
      <c r="AX140" s="10">
        <f t="shared" si="305"/>
        <v>0.46823230930666004</v>
      </c>
      <c r="AY140" s="10">
        <f t="shared" si="305"/>
        <v>0.41692208020221355</v>
      </c>
      <c r="AZ140" s="10">
        <f t="shared" si="305"/>
        <v>0.36679745351756066</v>
      </c>
      <c r="BA140" s="10">
        <f t="shared" si="305"/>
        <v>0.31879009139680314</v>
      </c>
      <c r="BB140" s="10">
        <f t="shared" si="305"/>
        <v>0.2733997896136291</v>
      </c>
      <c r="BC140" s="10">
        <f t="shared" si="305"/>
        <v>0.23083975218379171</v>
      </c>
      <c r="BD140" s="10">
        <f t="shared" si="305"/>
        <v>0.19114124694107182</v>
      </c>
      <c r="BE140" s="10">
        <f t="shared" si="305"/>
        <v>0.15422554154347212</v>
      </c>
      <c r="BF140" s="10">
        <f t="shared" si="305"/>
        <v>0.11995170648382936</v>
      </c>
      <c r="BG140" s="10">
        <f t="shared" si="305"/>
        <v>8.8147510761585224E-2</v>
      </c>
      <c r="BH140" s="10">
        <f t="shared" si="305"/>
        <v>5.8628855675557867E-2</v>
      </c>
      <c r="BI140" s="10">
        <f t="shared" si="305"/>
        <v>3.121161442878595E-2</v>
      </c>
      <c r="BJ140" s="10">
        <f t="shared" si="305"/>
        <v>5.71852937304973E-3</v>
      </c>
      <c r="BK140" s="10">
        <f t="shared" si="305"/>
        <v>1.8017055279113237E-2</v>
      </c>
      <c r="BL140" s="10">
        <f t="shared" si="305"/>
        <v>4.014945145718829E-2</v>
      </c>
      <c r="BM140" s="10">
        <f t="shared" si="305"/>
        <v>6.0820109752750318E-2</v>
      </c>
      <c r="BN140" s="10">
        <f t="shared" si="305"/>
        <v>8.0157831255383227E-2</v>
      </c>
      <c r="BO140" s="10">
        <f t="shared" ref="BO140:CG140" si="306">ABS(BO49-BO55)</f>
        <v>9.8279391895403023E-2</v>
      </c>
      <c r="BP140" s="10">
        <f t="shared" si="306"/>
        <v>0.11529037909082396</v>
      </c>
      <c r="BQ140" s="10">
        <f t="shared" si="306"/>
        <v>0.13128611627587583</v>
      </c>
      <c r="BR140" s="10">
        <f t="shared" si="306"/>
        <v>0.14635259985443927</v>
      </c>
      <c r="BS140" s="10">
        <f t="shared" si="306"/>
        <v>0.16056740454770257</v>
      </c>
      <c r="BT140" s="10">
        <f t="shared" si="306"/>
        <v>0.17400053309216212</v>
      </c>
      <c r="BU140" s="10">
        <f t="shared" si="306"/>
        <v>0.29782871221708052</v>
      </c>
      <c r="BV140" s="10">
        <f t="shared" si="306"/>
        <v>0.37296811729398971</v>
      </c>
      <c r="BW140" s="10">
        <f t="shared" si="306"/>
        <v>0.42603119447224824</v>
      </c>
      <c r="BX140" s="10">
        <f t="shared" si="306"/>
        <v>0.46751131855104833</v>
      </c>
      <c r="BY140" s="10">
        <f t="shared" si="306"/>
        <v>0.50219168994562113</v>
      </c>
      <c r="BZ140" s="10">
        <f t="shared" si="306"/>
        <v>0.53248332479655103</v>
      </c>
      <c r="CA140" s="10">
        <f t="shared" si="306"/>
        <v>0.55969527983257417</v>
      </c>
      <c r="CB140" s="10">
        <f t="shared" si="306"/>
        <v>0.58458269171246757</v>
      </c>
      <c r="CC140" s="10">
        <f t="shared" si="306"/>
        <v>0.60760592842914607</v>
      </c>
      <c r="CD140" s="10">
        <f t="shared" si="306"/>
        <v>0.62906164994291458</v>
      </c>
      <c r="CE140" s="10">
        <f t="shared" si="306"/>
        <v>0.64915243861937455</v>
      </c>
      <c r="CF140" s="10">
        <f t="shared" si="306"/>
        <v>0.66802515519186456</v>
      </c>
      <c r="CG140" s="10">
        <f t="shared" si="306"/>
        <v>0.68579263728377626</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v>
      </c>
      <c r="BF141" s="10">
        <f t="shared" si="308"/>
        <v>0</v>
      </c>
      <c r="BG141" s="10">
        <f t="shared" si="308"/>
        <v>0</v>
      </c>
      <c r="BH141" s="10">
        <f t="shared" si="308"/>
        <v>0</v>
      </c>
      <c r="BI141" s="10">
        <f t="shared" si="308"/>
        <v>0</v>
      </c>
      <c r="BJ141" s="10">
        <f t="shared" si="308"/>
        <v>0.85507246376811641</v>
      </c>
      <c r="BK141" s="10">
        <f t="shared" si="308"/>
        <v>0.86956521739130477</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0.86956521739130477</v>
      </c>
      <c r="CJ141" s="10">
        <f>3.14/3</f>
        <v>1.0466666666666666</v>
      </c>
      <c r="CK141" s="10">
        <f>CJ141*2</f>
        <v>2.0933333333333333</v>
      </c>
    </row>
    <row r="142" spans="2:90" ht="16.5" customHeight="1">
      <c r="C142" s="10">
        <f t="shared" ref="C142:AH142" si="310">ABS(C50-C56)</f>
        <v>1.4378511097281164</v>
      </c>
      <c r="D142" s="10">
        <f t="shared" si="310"/>
        <v>1.4368662789011648</v>
      </c>
      <c r="E142" s="10">
        <f t="shared" si="310"/>
        <v>1.4350369403594996</v>
      </c>
      <c r="F142" s="10">
        <f t="shared" si="310"/>
        <v>1.4322537592930518</v>
      </c>
      <c r="G142" s="10">
        <f t="shared" si="310"/>
        <v>1.428495537197072</v>
      </c>
      <c r="H142" s="10">
        <f t="shared" si="310"/>
        <v>1.4237332952129893</v>
      </c>
      <c r="I142" s="10">
        <f t="shared" si="310"/>
        <v>1.4179297264606401</v>
      </c>
      <c r="J142" s="10">
        <f t="shared" si="310"/>
        <v>1.4110384762478156</v>
      </c>
      <c r="K142" s="10">
        <f t="shared" si="310"/>
        <v>1.4030032250680193</v>
      </c>
      <c r="L142" s="10">
        <f t="shared" si="310"/>
        <v>1.3937565415163331</v>
      </c>
      <c r="M142" s="10">
        <f t="shared" si="310"/>
        <v>1.3832184626744504</v>
      </c>
      <c r="N142" s="10">
        <f t="shared" si="310"/>
        <v>1.371294747546846</v>
      </c>
      <c r="O142" s="10">
        <f t="shared" si="310"/>
        <v>1.3578747340020849</v>
      </c>
      <c r="P142" s="10">
        <f t="shared" si="310"/>
        <v>1.3428287103826917</v>
      </c>
      <c r="Q142" s="10">
        <f t="shared" si="310"/>
        <v>1.326004688179955</v>
      </c>
      <c r="R142" s="10">
        <f t="shared" si="310"/>
        <v>1.3072244302099323</v>
      </c>
      <c r="S142" s="10">
        <f t="shared" si="310"/>
        <v>1.2862785473466527</v>
      </c>
      <c r="T142" s="10">
        <f t="shared" si="310"/>
        <v>1.2629204232207396</v>
      </c>
      <c r="U142" s="10">
        <f t="shared" si="310"/>
        <v>1.2368586568342124</v>
      </c>
      <c r="V142" s="10">
        <f t="shared" si="310"/>
        <v>1.2077476235895739</v>
      </c>
      <c r="W142" s="10">
        <f t="shared" si="310"/>
        <v>1.1751756413392549</v>
      </c>
      <c r="X142" s="10">
        <f t="shared" si="310"/>
        <v>1.1386500861998679</v>
      </c>
      <c r="Y142" s="10">
        <f t="shared" si="310"/>
        <v>1.0975786333718958</v>
      </c>
      <c r="Z142" s="10">
        <f t="shared" si="310"/>
        <v>1.0512456120608076</v>
      </c>
      <c r="AA142" s="10">
        <f t="shared" si="310"/>
        <v>0.99878229764961635</v>
      </c>
      <c r="AB142" s="10">
        <f t="shared" si="310"/>
        <v>0.93912991420237879</v>
      </c>
      <c r="AC142" s="10">
        <f t="shared" si="310"/>
        <v>0.87099441152042945</v>
      </c>
      <c r="AD142" s="10">
        <f t="shared" si="310"/>
        <v>0.79279321849707918</v>
      </c>
      <c r="AE142" s="10">
        <f t="shared" si="310"/>
        <v>0.70259725657036121</v>
      </c>
      <c r="AF142" s="10">
        <f t="shared" si="310"/>
        <v>0.59807884808629896</v>
      </c>
      <c r="AG142" s="10">
        <f t="shared" si="310"/>
        <v>0.47649252679295828</v>
      </c>
      <c r="AH142" s="10">
        <f t="shared" si="310"/>
        <v>0.33475029265731804</v>
      </c>
      <c r="AI142" s="10">
        <f t="shared" ref="AI142:BN142" si="311">ABS(AI50-AI56)</f>
        <v>0.16972097209637615</v>
      </c>
      <c r="AJ142" s="10">
        <f t="shared" si="311"/>
        <v>2.0997217851709271E-2</v>
      </c>
      <c r="AK142" s="10">
        <f t="shared" si="311"/>
        <v>0.23742349834626486</v>
      </c>
      <c r="AL142" s="10">
        <f t="shared" si="311"/>
        <v>0.47421882293883488</v>
      </c>
      <c r="AM142" s="10">
        <f t="shared" si="311"/>
        <v>0.7166015402879633</v>
      </c>
      <c r="AN142" s="10">
        <f t="shared" si="311"/>
        <v>0.9376528254252785</v>
      </c>
      <c r="AO142" s="10">
        <f t="shared" si="311"/>
        <v>1.1026745058492142</v>
      </c>
      <c r="AP142" s="10">
        <f t="shared" si="311"/>
        <v>1.1584809486121579</v>
      </c>
      <c r="AQ142" s="10">
        <f t="shared" si="311"/>
        <v>1.1901386430418819</v>
      </c>
      <c r="AR142" s="10">
        <f t="shared" si="311"/>
        <v>1.1412127216922354</v>
      </c>
      <c r="AS142" s="10">
        <f t="shared" si="311"/>
        <v>1.0379141183789289</v>
      </c>
      <c r="AT142" s="10">
        <f t="shared" si="311"/>
        <v>0.90797711112353352</v>
      </c>
      <c r="AU142" s="10">
        <f t="shared" si="311"/>
        <v>0.77161582828406083</v>
      </c>
      <c r="AV142" s="10">
        <f t="shared" si="311"/>
        <v>0.6404313554544554</v>
      </c>
      <c r="AW142" s="10">
        <f t="shared" si="311"/>
        <v>0.51978156661107877</v>
      </c>
      <c r="AX142" s="10">
        <f t="shared" si="311"/>
        <v>0.41136932165184459</v>
      </c>
      <c r="AY142" s="10">
        <f t="shared" si="311"/>
        <v>0.31504054805614579</v>
      </c>
      <c r="AZ142" s="10">
        <f t="shared" si="311"/>
        <v>0.2298248145931443</v>
      </c>
      <c r="BA142" s="10">
        <f t="shared" si="311"/>
        <v>0.15447789034240644</v>
      </c>
      <c r="BB142" s="10">
        <f t="shared" si="311"/>
        <v>8.7741860252820159E-2</v>
      </c>
      <c r="BC142" s="10">
        <f t="shared" si="311"/>
        <v>2.8457115886573625E-2</v>
      </c>
      <c r="BD142" s="10">
        <f t="shared" si="311"/>
        <v>2.4399180956088173E-2</v>
      </c>
      <c r="BE142" s="10">
        <f t="shared" si="311"/>
        <v>7.1709090953134824E-2</v>
      </c>
      <c r="BF142" s="10">
        <f t="shared" si="311"/>
        <v>0.11422463710628827</v>
      </c>
      <c r="BG142" s="10">
        <f t="shared" si="311"/>
        <v>0.15258368446832105</v>
      </c>
      <c r="BH142" s="10">
        <f t="shared" si="311"/>
        <v>0.18732648868400537</v>
      </c>
      <c r="BI142" s="10">
        <f t="shared" si="311"/>
        <v>0.21891099919530643</v>
      </c>
      <c r="BJ142" s="10">
        <f t="shared" si="311"/>
        <v>0.24772624350277583</v>
      </c>
      <c r="BK142" s="10">
        <f t="shared" si="311"/>
        <v>0.2741036960806762</v>
      </c>
      <c r="BL142" s="10">
        <f t="shared" si="311"/>
        <v>0.29832678326003559</v>
      </c>
      <c r="BM142" s="10">
        <f t="shared" si="311"/>
        <v>0.32063876308513595</v>
      </c>
      <c r="BN142" s="10">
        <f t="shared" si="311"/>
        <v>0.34124923220132852</v>
      </c>
      <c r="BO142" s="10">
        <f t="shared" ref="BO142:CG142" si="312">ABS(BO50-BO56)</f>
        <v>0.36033949276155997</v>
      </c>
      <c r="BP142" s="10">
        <f t="shared" si="312"/>
        <v>0.37806698186381427</v>
      </c>
      <c r="BQ142" s="10">
        <f t="shared" si="312"/>
        <v>0.39456893384696001</v>
      </c>
      <c r="BR142" s="10">
        <f t="shared" si="312"/>
        <v>0.4099654160610664</v>
      </c>
      <c r="BS142" s="10">
        <f t="shared" si="312"/>
        <v>0.4243618529757236</v>
      </c>
      <c r="BT142" s="10">
        <f t="shared" si="312"/>
        <v>0.43785113191561709</v>
      </c>
      <c r="BU142" s="10">
        <f t="shared" si="312"/>
        <v>0.5566912927988108</v>
      </c>
      <c r="BV142" s="10">
        <f t="shared" si="312"/>
        <v>0.62317039380103412</v>
      </c>
      <c r="BW142" s="10">
        <f t="shared" si="312"/>
        <v>0.66687040193949065</v>
      </c>
      <c r="BX142" s="10">
        <f t="shared" si="312"/>
        <v>0.6990063255585357</v>
      </c>
      <c r="BY142" s="10">
        <f t="shared" si="312"/>
        <v>0.72465456255004979</v>
      </c>
      <c r="BZ142" s="10">
        <f t="shared" si="312"/>
        <v>0.74639122108894806</v>
      </c>
      <c r="CA142" s="10">
        <f t="shared" si="312"/>
        <v>0.76562924299152935</v>
      </c>
      <c r="CB142" s="10">
        <f t="shared" si="312"/>
        <v>0.78318681464184337</v>
      </c>
      <c r="CC142" s="10">
        <f t="shared" si="312"/>
        <v>0.79955618525978545</v>
      </c>
      <c r="CD142" s="10">
        <f t="shared" si="312"/>
        <v>0.8150415626066484</v>
      </c>
      <c r="CE142" s="10">
        <f t="shared" si="312"/>
        <v>0.82983448121533965</v>
      </c>
      <c r="CF142" s="10">
        <f t="shared" si="312"/>
        <v>0.84405710759984043</v>
      </c>
      <c r="CG142" s="10">
        <f t="shared" si="312"/>
        <v>0.85778812063065502</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0.48482264331735225</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0.75362318840579789</v>
      </c>
      <c r="BD143" s="10">
        <f t="shared" si="314"/>
        <v>0.76811594202898625</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0.76811594202898625</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0.98195978791719163</v>
      </c>
      <c r="BC149" s="175">
        <f>BB149*'Res. Tank Design'!$D$55</f>
        <v>145.60879087111087</v>
      </c>
      <c r="BD149" s="37" t="s">
        <v>187</v>
      </c>
      <c r="BE149" s="169" t="str">
        <f t="shared" ref="BE149:BF154" si="316">B33</f>
        <v>π/2</v>
      </c>
      <c r="BF149" s="169">
        <f t="shared" si="316"/>
        <v>1.5707963267948966</v>
      </c>
    </row>
    <row r="150" spans="54:88" ht="16.5" customHeight="1">
      <c r="BB150" s="174">
        <f>D232</f>
        <v>0.94669388705083135</v>
      </c>
      <c r="BC150" s="175">
        <f>BB150*'Res. Tank Design'!$D$55</f>
        <v>140.37942685099864</v>
      </c>
      <c r="BD150" s="37" t="s">
        <v>187</v>
      </c>
      <c r="BE150" s="169" t="str">
        <f t="shared" si="316"/>
        <v>5π/12</v>
      </c>
      <c r="BF150" s="169">
        <f t="shared" si="316"/>
        <v>1.3089969389957472</v>
      </c>
      <c r="CI150" s="10">
        <f>CJ143</f>
        <v>0.78500000000000003</v>
      </c>
      <c r="CJ150" s="10">
        <f>CI143</f>
        <v>0.76811594202898625</v>
      </c>
    </row>
    <row r="151" spans="54:88" ht="16.5" customHeight="1">
      <c r="BB151" s="174">
        <f>E232</f>
        <v>0.85847143291240779</v>
      </c>
      <c r="BC151" s="175">
        <f>BB151*'Res. Tank Design'!$D$55</f>
        <v>127.29746052931748</v>
      </c>
      <c r="BD151" s="37" t="s">
        <v>187</v>
      </c>
      <c r="BE151" s="169" t="str">
        <f t="shared" si="316"/>
        <v>π/3</v>
      </c>
      <c r="BF151" s="176">
        <f t="shared" si="316"/>
        <v>1.0471975511965976</v>
      </c>
      <c r="CF151" s="10" t="s">
        <v>877</v>
      </c>
      <c r="CI151" s="10">
        <f>CJ141</f>
        <v>1.0466666666666666</v>
      </c>
      <c r="CJ151" s="10">
        <f>CI141</f>
        <v>0.86956521739130477</v>
      </c>
    </row>
    <row r="152" spans="54:88" ht="16.5" customHeight="1">
      <c r="BB152" s="174">
        <f>F232</f>
        <v>0.76122228830401251</v>
      </c>
      <c r="BC152" s="175">
        <f>BB152*'Res. Tank Design'!$D$55</f>
        <v>112.87698167273075</v>
      </c>
      <c r="BD152" s="37" t="s">
        <v>187</v>
      </c>
      <c r="BE152" s="169" t="str">
        <f t="shared" si="316"/>
        <v>π/4</v>
      </c>
      <c r="BF152" s="176">
        <f t="shared" si="316"/>
        <v>0.78539816339744828</v>
      </c>
      <c r="CI152" s="10">
        <f>CJ139</f>
        <v>1.57</v>
      </c>
      <c r="CJ152" s="10">
        <f>CI139</f>
        <v>1</v>
      </c>
    </row>
    <row r="153" spans="54:88" ht="16.5" customHeight="1">
      <c r="BB153" s="174">
        <f>G232</f>
        <v>0.67979066186211323</v>
      </c>
      <c r="BC153" s="175">
        <f>BB153*'Res. Tank Design'!$D$55</f>
        <v>100.80198551629665</v>
      </c>
      <c r="BD153" s="37" t="s">
        <v>187</v>
      </c>
      <c r="BE153" s="169" t="str">
        <f t="shared" si="316"/>
        <v>π/6</v>
      </c>
      <c r="BF153" s="176">
        <f t="shared" si="316"/>
        <v>0.52359877559829882</v>
      </c>
      <c r="CI153" s="10">
        <f>CK141</f>
        <v>2.0933333333333333</v>
      </c>
      <c r="CJ153" s="10">
        <f>CI141</f>
        <v>0.86956521739130477</v>
      </c>
    </row>
    <row r="154" spans="54:88" ht="17.25" customHeight="1">
      <c r="BB154" s="177">
        <f>H232</f>
        <v>0.61288424897329774</v>
      </c>
      <c r="BC154" s="178">
        <f>BB154*'Res. Tank Design'!$D$55</f>
        <v>90.880844139491828</v>
      </c>
      <c r="BD154" s="48" t="s">
        <v>187</v>
      </c>
      <c r="BE154" s="170" t="str">
        <f t="shared" si="316"/>
        <v>π/12</v>
      </c>
      <c r="BF154" s="179">
        <f t="shared" si="316"/>
        <v>0.26179938779914941</v>
      </c>
      <c r="CI154" s="10">
        <f>CK143</f>
        <v>2.355</v>
      </c>
      <c r="CJ154" s="10">
        <f>CI143</f>
        <v>0.76811594202898625</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82.651410389153028</v>
      </c>
      <c r="BE158" s="168">
        <f>'Design Spec'!$D$104</f>
        <v>225</v>
      </c>
      <c r="BF158" s="183">
        <f>'Res. Tank Design'!D$55</f>
        <v>148.28386321191189</v>
      </c>
    </row>
    <row r="159" spans="54:88" ht="16.5" customHeight="1">
      <c r="BB159" s="184" t="s">
        <v>881</v>
      </c>
      <c r="BC159" s="185">
        <f t="shared" si="317"/>
        <v>2.879793265790644</v>
      </c>
      <c r="BD159" s="169">
        <f>BD169</f>
        <v>90.880844139491828</v>
      </c>
      <c r="BE159" s="169">
        <f>'Design Spec'!$D$104</f>
        <v>225</v>
      </c>
      <c r="BF159" s="186">
        <f>'Res. Tank Design'!D$55</f>
        <v>148.28386321191189</v>
      </c>
    </row>
    <row r="160" spans="54:88" ht="16.5" customHeight="1">
      <c r="BB160" s="184" t="s">
        <v>882</v>
      </c>
      <c r="BC160" s="185">
        <f t="shared" si="317"/>
        <v>2.617993877991494</v>
      </c>
      <c r="BD160" s="169">
        <f>BD168</f>
        <v>100.80198551629665</v>
      </c>
      <c r="BE160" s="169">
        <f>'Design Spec'!$D$104</f>
        <v>225</v>
      </c>
      <c r="BF160" s="186">
        <f>'Res. Tank Design'!D$55</f>
        <v>148.28386321191189</v>
      </c>
    </row>
    <row r="161" spans="54:58" ht="16.5" customHeight="1">
      <c r="BB161" s="184" t="s">
        <v>883</v>
      </c>
      <c r="BC161" s="185">
        <f t="shared" si="317"/>
        <v>2.3561944901923448</v>
      </c>
      <c r="BD161" s="169">
        <f>BD167</f>
        <v>112.87698167273075</v>
      </c>
      <c r="BE161" s="169">
        <f>'Design Spec'!$D$104</f>
        <v>225</v>
      </c>
      <c r="BF161" s="186">
        <f>'Res. Tank Design'!D$55</f>
        <v>148.28386321191189</v>
      </c>
    </row>
    <row r="162" spans="54:58" ht="16.5" customHeight="1">
      <c r="BB162" s="184" t="s">
        <v>884</v>
      </c>
      <c r="BC162" s="185">
        <f t="shared" si="317"/>
        <v>2.0943951023931953</v>
      </c>
      <c r="BD162" s="169">
        <f>BD166</f>
        <v>127.29746052931748</v>
      </c>
      <c r="BE162" s="169">
        <f>'Design Spec'!$D$104</f>
        <v>225</v>
      </c>
      <c r="BF162" s="186">
        <f>'Res. Tank Design'!D$55</f>
        <v>148.28386321191189</v>
      </c>
    </row>
    <row r="163" spans="54:58" ht="16.5" customHeight="1">
      <c r="BB163" s="184" t="s">
        <v>885</v>
      </c>
      <c r="BC163" s="185">
        <f t="shared" si="317"/>
        <v>1.8325957145940459</v>
      </c>
      <c r="BD163" s="169">
        <f>BD165</f>
        <v>140.37942685099864</v>
      </c>
      <c r="BE163" s="169">
        <f>'Design Spec'!$D$104</f>
        <v>225</v>
      </c>
      <c r="BF163" s="186">
        <f>'Res. Tank Design'!D$55</f>
        <v>148.28386321191189</v>
      </c>
    </row>
    <row r="164" spans="54:58" ht="16.5" customHeight="1">
      <c r="BB164" s="184" t="s">
        <v>793</v>
      </c>
      <c r="BC164" s="185">
        <f t="shared" ref="BC164:BC169" si="318">BF149</f>
        <v>1.5707963267948966</v>
      </c>
      <c r="BD164" s="169">
        <f t="shared" ref="BD164:BD169" si="319">BC149</f>
        <v>145.60879087111087</v>
      </c>
      <c r="BE164" s="169">
        <f>'Design Spec'!$D$104</f>
        <v>225</v>
      </c>
      <c r="BF164" s="186">
        <f>'Res. Tank Design'!D$55</f>
        <v>148.28386321191189</v>
      </c>
    </row>
    <row r="165" spans="54:58" ht="16.5" customHeight="1">
      <c r="BB165" s="184" t="s">
        <v>794</v>
      </c>
      <c r="BC165" s="185">
        <f t="shared" si="318"/>
        <v>1.3089969389957472</v>
      </c>
      <c r="BD165" s="169">
        <f t="shared" si="319"/>
        <v>140.37942685099864</v>
      </c>
      <c r="BE165" s="169">
        <f>'Design Spec'!$D$104</f>
        <v>225</v>
      </c>
      <c r="BF165" s="186">
        <f>'Res. Tank Design'!D$55</f>
        <v>148.28386321191189</v>
      </c>
    </row>
    <row r="166" spans="54:58" ht="16.5" customHeight="1">
      <c r="BB166" s="184" t="s">
        <v>795</v>
      </c>
      <c r="BC166" s="185">
        <f t="shared" si="318"/>
        <v>1.0471975511965976</v>
      </c>
      <c r="BD166" s="169">
        <f t="shared" si="319"/>
        <v>127.29746052931748</v>
      </c>
      <c r="BE166" s="169">
        <f>'Design Spec'!$D$104</f>
        <v>225</v>
      </c>
      <c r="BF166" s="186">
        <f>'Res. Tank Design'!D$55</f>
        <v>148.28386321191189</v>
      </c>
    </row>
    <row r="167" spans="54:58" ht="16.5" customHeight="1">
      <c r="BB167" s="184" t="s">
        <v>796</v>
      </c>
      <c r="BC167" s="185">
        <f t="shared" si="318"/>
        <v>0.78539816339744828</v>
      </c>
      <c r="BD167" s="169">
        <f t="shared" si="319"/>
        <v>112.87698167273075</v>
      </c>
      <c r="BE167" s="169">
        <f>'Design Spec'!$D$104</f>
        <v>225</v>
      </c>
      <c r="BF167" s="186">
        <f>'Res. Tank Design'!D$55</f>
        <v>148.28386321191189</v>
      </c>
    </row>
    <row r="168" spans="54:58" ht="16.5" customHeight="1">
      <c r="BB168" s="184" t="s">
        <v>797</v>
      </c>
      <c r="BC168" s="185">
        <f t="shared" si="318"/>
        <v>0.52359877559829882</v>
      </c>
      <c r="BD168" s="169">
        <f t="shared" si="319"/>
        <v>100.80198551629665</v>
      </c>
      <c r="BE168" s="169">
        <f>'Design Spec'!$D$104</f>
        <v>225</v>
      </c>
      <c r="BF168" s="186">
        <f>'Res. Tank Design'!D$55</f>
        <v>148.28386321191189</v>
      </c>
    </row>
    <row r="169" spans="54:58" ht="16.5" customHeight="1">
      <c r="BB169" s="184" t="s">
        <v>798</v>
      </c>
      <c r="BC169" s="185">
        <f t="shared" si="318"/>
        <v>0.26179938779914941</v>
      </c>
      <c r="BD169" s="169">
        <f t="shared" si="319"/>
        <v>90.880844139491828</v>
      </c>
      <c r="BE169" s="169">
        <f>'Design Spec'!$D$104</f>
        <v>225</v>
      </c>
      <c r="BF169" s="186">
        <f>'Res. Tank Design'!D$55</f>
        <v>148.28386321191189</v>
      </c>
    </row>
    <row r="170" spans="54:58" ht="17.25" customHeight="1">
      <c r="BB170" s="187">
        <v>0</v>
      </c>
      <c r="BC170" s="188">
        <v>0</v>
      </c>
      <c r="BD170" s="189">
        <f>'Res. Tank Design'!D$56</f>
        <v>82.651410389153028</v>
      </c>
      <c r="BE170" s="170">
        <f>'Design Spec'!$D$104</f>
        <v>225</v>
      </c>
      <c r="BF170" s="189">
        <f>'Res. Tank Design'!D$55</f>
        <v>148.28386321191189</v>
      </c>
    </row>
    <row r="171" spans="54:58" ht="17.25" customHeight="1"/>
    <row r="172" spans="54:58" ht="17.25" customHeight="1">
      <c r="BB172" s="171" t="s">
        <v>692</v>
      </c>
      <c r="BC172" s="172" t="s">
        <v>866</v>
      </c>
      <c r="BD172" s="173" t="s">
        <v>134</v>
      </c>
      <c r="BE172" s="172" t="s">
        <v>875</v>
      </c>
      <c r="BF172" s="172" t="s">
        <v>876</v>
      </c>
    </row>
    <row r="173" spans="54:58" ht="16.5" customHeight="1">
      <c r="BB173" s="190">
        <f>O232</f>
        <v>1.3702487156954204</v>
      </c>
      <c r="BC173" s="191">
        <f>BB173*'Res. Tank Design'!$D$55</f>
        <v>203.18577312447766</v>
      </c>
      <c r="BD173" s="37" t="s">
        <v>187</v>
      </c>
      <c r="BE173" s="169" t="str">
        <f t="shared" ref="BE173:BF178" si="320">B33</f>
        <v>π/2</v>
      </c>
      <c r="BF173" s="169">
        <f t="shared" si="320"/>
        <v>1.5707963267948966</v>
      </c>
    </row>
    <row r="174" spans="54:58" ht="16.5" customHeight="1">
      <c r="BB174" s="190">
        <f>P232</f>
        <v>1.31360862226235</v>
      </c>
      <c r="BC174" s="175">
        <f>BB174*'Res. Tank Design'!$D$55</f>
        <v>194.78696125753834</v>
      </c>
      <c r="BD174" s="37" t="s">
        <v>187</v>
      </c>
      <c r="BE174" s="169" t="str">
        <f t="shared" si="320"/>
        <v>5π/12</v>
      </c>
      <c r="BF174" s="169">
        <f t="shared" si="320"/>
        <v>1.3089969389957472</v>
      </c>
    </row>
    <row r="175" spans="54:58" ht="16.5" customHeight="1">
      <c r="BB175" s="190">
        <f>Q232</f>
        <v>1.1332789134278374</v>
      </c>
      <c r="BC175" s="175">
        <f>BB175*'Res. Tank Design'!$D$55</f>
        <v>168.04697537967758</v>
      </c>
      <c r="BD175" s="37" t="s">
        <v>187</v>
      </c>
      <c r="BE175" s="169" t="str">
        <f t="shared" si="320"/>
        <v>π/3</v>
      </c>
      <c r="BF175" s="176">
        <f t="shared" si="320"/>
        <v>1.0471975511965976</v>
      </c>
    </row>
    <row r="176" spans="54:58" ht="16.5" customHeight="1">
      <c r="BB176" s="190">
        <f>R232</f>
        <v>0.90552822990310455</v>
      </c>
      <c r="BC176" s="175">
        <f>BB176*'Res. Tank Design'!$D$55</f>
        <v>134.27522417747667</v>
      </c>
      <c r="BD176" s="37" t="s">
        <v>187</v>
      </c>
      <c r="BE176" s="169" t="str">
        <f t="shared" si="320"/>
        <v>π/4</v>
      </c>
      <c r="BF176" s="176">
        <f t="shared" si="320"/>
        <v>0.78539816339744828</v>
      </c>
    </row>
    <row r="177" spans="54:58" ht="16.5" customHeight="1">
      <c r="BB177" s="190">
        <f>S232</f>
        <v>0.74168036947625626</v>
      </c>
      <c r="BC177" s="175">
        <f>BB177*'Res. Tank Design'!$D$55</f>
        <v>109.97923045437746</v>
      </c>
      <c r="BD177" s="37" t="s">
        <v>187</v>
      </c>
      <c r="BE177" s="169" t="str">
        <f t="shared" si="320"/>
        <v>π/6</v>
      </c>
      <c r="BF177" s="176">
        <f t="shared" si="320"/>
        <v>0.52359877559829882</v>
      </c>
    </row>
    <row r="178" spans="54:58" ht="17.25" customHeight="1">
      <c r="BB178" s="192">
        <f>T232</f>
        <v>0.63364189044822927</v>
      </c>
      <c r="BC178" s="178">
        <f>BB178*'Res. Tank Design'!$D$55</f>
        <v>93.958867408562497</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82.651410389153028</v>
      </c>
      <c r="BE182" s="168">
        <f>'Design Spec'!$D$104</f>
        <v>225</v>
      </c>
      <c r="BF182" s="183">
        <f>'Res. Tank Design'!D$55</f>
        <v>148.28386321191189</v>
      </c>
    </row>
    <row r="183" spans="54:58" ht="16.5" customHeight="1">
      <c r="BB183" s="184" t="s">
        <v>881</v>
      </c>
      <c r="BC183" s="185">
        <f t="shared" si="321"/>
        <v>2.879793265790644</v>
      </c>
      <c r="BD183" s="169">
        <f>BD193</f>
        <v>93.958867408562497</v>
      </c>
      <c r="BE183" s="169">
        <f>'Design Spec'!$D$104</f>
        <v>225</v>
      </c>
      <c r="BF183" s="186">
        <f>'Res. Tank Design'!D$55</f>
        <v>148.28386321191189</v>
      </c>
    </row>
    <row r="184" spans="54:58" ht="16.5" customHeight="1">
      <c r="BB184" s="184" t="s">
        <v>882</v>
      </c>
      <c r="BC184" s="185">
        <f t="shared" si="321"/>
        <v>2.617993877991494</v>
      </c>
      <c r="BD184" s="169">
        <f>BD192</f>
        <v>109.97923045437746</v>
      </c>
      <c r="BE184" s="169">
        <f>'Design Spec'!$D$104</f>
        <v>225</v>
      </c>
      <c r="BF184" s="186">
        <f>'Res. Tank Design'!D$55</f>
        <v>148.28386321191189</v>
      </c>
    </row>
    <row r="185" spans="54:58" ht="16.5" customHeight="1">
      <c r="BB185" s="184" t="s">
        <v>883</v>
      </c>
      <c r="BC185" s="185">
        <f t="shared" si="321"/>
        <v>2.3561944901923448</v>
      </c>
      <c r="BD185" s="169">
        <f>BD191</f>
        <v>134.27522417747667</v>
      </c>
      <c r="BE185" s="169">
        <f>'Design Spec'!$D$104</f>
        <v>225</v>
      </c>
      <c r="BF185" s="186">
        <f>'Res. Tank Design'!D$55</f>
        <v>148.28386321191189</v>
      </c>
    </row>
    <row r="186" spans="54:58" ht="16.5" customHeight="1">
      <c r="BB186" s="184" t="s">
        <v>884</v>
      </c>
      <c r="BC186" s="185">
        <f t="shared" si="321"/>
        <v>2.0943951023931953</v>
      </c>
      <c r="BD186" s="169">
        <f>BD190</f>
        <v>168.04697537967758</v>
      </c>
      <c r="BE186" s="169">
        <f>'Design Spec'!$D$104</f>
        <v>225</v>
      </c>
      <c r="BF186" s="186">
        <f>'Res. Tank Design'!D$55</f>
        <v>148.28386321191189</v>
      </c>
    </row>
    <row r="187" spans="54:58" ht="16.5" customHeight="1">
      <c r="BB187" s="184" t="s">
        <v>885</v>
      </c>
      <c r="BC187" s="185">
        <f t="shared" si="321"/>
        <v>1.8325957145940459</v>
      </c>
      <c r="BD187" s="169">
        <f>BD189</f>
        <v>194.78696125753834</v>
      </c>
      <c r="BE187" s="169">
        <f>'Design Spec'!$D$104</f>
        <v>225</v>
      </c>
      <c r="BF187" s="186">
        <f>'Res. Tank Design'!D$55</f>
        <v>148.28386321191189</v>
      </c>
    </row>
    <row r="188" spans="54:58" ht="16.5" customHeight="1">
      <c r="BB188" s="184" t="s">
        <v>793</v>
      </c>
      <c r="BC188" s="185">
        <f t="shared" ref="BC188:BC193" si="322">BF173</f>
        <v>1.5707963267948966</v>
      </c>
      <c r="BD188" s="169">
        <f t="shared" ref="BD188:BD193" si="323">BC173</f>
        <v>203.18577312447766</v>
      </c>
      <c r="BE188" s="169">
        <f>'Design Spec'!$D$104</f>
        <v>225</v>
      </c>
      <c r="BF188" s="186">
        <f>'Res. Tank Design'!D$55</f>
        <v>148.28386321191189</v>
      </c>
    </row>
    <row r="189" spans="54:58" ht="16.5" customHeight="1">
      <c r="BB189" s="184" t="s">
        <v>794</v>
      </c>
      <c r="BC189" s="185">
        <f t="shared" si="322"/>
        <v>1.3089969389957472</v>
      </c>
      <c r="BD189" s="169">
        <f t="shared" si="323"/>
        <v>194.78696125753834</v>
      </c>
      <c r="BE189" s="169">
        <f>'Design Spec'!$D$104</f>
        <v>225</v>
      </c>
      <c r="BF189" s="186">
        <f>'Res. Tank Design'!D$55</f>
        <v>148.28386321191189</v>
      </c>
    </row>
    <row r="190" spans="54:58" ht="16.5" customHeight="1">
      <c r="BB190" s="184" t="s">
        <v>795</v>
      </c>
      <c r="BC190" s="185">
        <f t="shared" si="322"/>
        <v>1.0471975511965976</v>
      </c>
      <c r="BD190" s="169">
        <f t="shared" si="323"/>
        <v>168.04697537967758</v>
      </c>
      <c r="BE190" s="169">
        <f>'Design Spec'!$D$104</f>
        <v>225</v>
      </c>
      <c r="BF190" s="186">
        <f>'Res. Tank Design'!D$55</f>
        <v>148.28386321191189</v>
      </c>
    </row>
    <row r="191" spans="54:58" ht="16.5" customHeight="1">
      <c r="BB191" s="184" t="s">
        <v>796</v>
      </c>
      <c r="BC191" s="185">
        <f t="shared" si="322"/>
        <v>0.78539816339744828</v>
      </c>
      <c r="BD191" s="169">
        <f t="shared" si="323"/>
        <v>134.27522417747667</v>
      </c>
      <c r="BE191" s="169">
        <f>'Design Spec'!$D$104</f>
        <v>225</v>
      </c>
      <c r="BF191" s="186">
        <f>'Res. Tank Design'!D$55</f>
        <v>148.28386321191189</v>
      </c>
    </row>
    <row r="192" spans="54:58" ht="16.5" customHeight="1">
      <c r="BB192" s="184" t="s">
        <v>797</v>
      </c>
      <c r="BC192" s="185">
        <f t="shared" si="322"/>
        <v>0.52359877559829882</v>
      </c>
      <c r="BD192" s="169">
        <f t="shared" si="323"/>
        <v>109.97923045437746</v>
      </c>
      <c r="BE192" s="169">
        <f>'Design Spec'!$D$104</f>
        <v>225</v>
      </c>
      <c r="BF192" s="186">
        <f>'Res. Tank Design'!D$55</f>
        <v>148.28386321191189</v>
      </c>
    </row>
    <row r="193" spans="54:59" ht="16.5" customHeight="1">
      <c r="BB193" s="184" t="s">
        <v>798</v>
      </c>
      <c r="BC193" s="185">
        <f t="shared" si="322"/>
        <v>0.26179938779914941</v>
      </c>
      <c r="BD193" s="169">
        <f t="shared" si="323"/>
        <v>93.958867408562497</v>
      </c>
      <c r="BE193" s="169">
        <f>'Design Spec'!$D$104</f>
        <v>225</v>
      </c>
      <c r="BF193" s="186">
        <f>'Res. Tank Design'!D$55</f>
        <v>148.28386321191189</v>
      </c>
    </row>
    <row r="194" spans="54:59" ht="17.25" customHeight="1">
      <c r="BB194" s="187">
        <v>0</v>
      </c>
      <c r="BC194" s="188">
        <v>0</v>
      </c>
      <c r="BD194" s="189">
        <f>'Res. Tank Design'!D$56</f>
        <v>82.651410389153028</v>
      </c>
      <c r="BE194" s="170">
        <f>'Design Spec'!$D$104</f>
        <v>225</v>
      </c>
      <c r="BF194" s="189">
        <f>'Res. Tank Design'!D$55</f>
        <v>148.28386321191189</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2.4402534100121249</v>
      </c>
      <c r="BC197" s="175">
        <f>BB197*'Res. Tank Design'!$D$55</f>
        <v>361.85020285263948</v>
      </c>
      <c r="BD197" s="37" t="s">
        <v>187</v>
      </c>
      <c r="BE197" s="169" t="str">
        <f t="shared" ref="BE197:BF202" si="324">B33</f>
        <v>π/2</v>
      </c>
      <c r="BF197" s="168">
        <f t="shared" si="324"/>
        <v>1.5707963267948966</v>
      </c>
    </row>
    <row r="198" spans="54:59" ht="16.5" customHeight="1">
      <c r="BB198" s="190">
        <f>J232</f>
        <v>2.4281221861975775</v>
      </c>
      <c r="BC198" s="175">
        <f>BB198*'Res. Tank Design'!$D$55</f>
        <v>360.05133811993005</v>
      </c>
      <c r="BD198" s="37" t="s">
        <v>187</v>
      </c>
      <c r="BE198" s="169" t="str">
        <f t="shared" si="324"/>
        <v>5π/12</v>
      </c>
      <c r="BF198" s="169">
        <f t="shared" si="324"/>
        <v>1.3089969389957472</v>
      </c>
    </row>
    <row r="199" spans="54:59" ht="16.5" customHeight="1">
      <c r="BB199" s="190">
        <f>K232</f>
        <v>2.310749706052305</v>
      </c>
      <c r="BC199" s="175">
        <f>BB199*'Res. Tank Design'!$D$55</f>
        <v>342.64689332922563</v>
      </c>
      <c r="BD199" s="37" t="s">
        <v>187</v>
      </c>
      <c r="BE199" s="169" t="str">
        <f t="shared" si="324"/>
        <v>π/3</v>
      </c>
      <c r="BF199" s="176">
        <f t="shared" si="324"/>
        <v>1.0471975511965976</v>
      </c>
    </row>
    <row r="200" spans="54:59" ht="16.5" customHeight="1">
      <c r="BB200" s="190">
        <f>L232</f>
        <v>1.6726849018814878</v>
      </c>
      <c r="BC200" s="175">
        <f>BB200*'Res. Tank Design'!$D$55</f>
        <v>248.03217918722481</v>
      </c>
      <c r="BD200" s="37" t="s">
        <v>187</v>
      </c>
      <c r="BE200" s="169" t="str">
        <f t="shared" si="324"/>
        <v>π/4</v>
      </c>
      <c r="BF200" s="176">
        <f t="shared" si="324"/>
        <v>0.78539816339744828</v>
      </c>
    </row>
    <row r="201" spans="54:59" ht="16.5" customHeight="1">
      <c r="BB201" s="190">
        <f>M232</f>
        <v>0.94240408291837385</v>
      </c>
      <c r="BC201" s="175">
        <f>BB201*'Res. Tank Design'!$D$55</f>
        <v>139.74331812181543</v>
      </c>
      <c r="BD201" s="37" t="s">
        <v>187</v>
      </c>
      <c r="BE201" s="169" t="str">
        <f t="shared" si="324"/>
        <v>π/6</v>
      </c>
      <c r="BF201" s="176">
        <f t="shared" si="324"/>
        <v>0.52359877559829882</v>
      </c>
    </row>
    <row r="202" spans="54:59" ht="17.25" customHeight="1">
      <c r="BB202" s="192">
        <f>N232</f>
        <v>0.68394860170298077</v>
      </c>
      <c r="BC202" s="178">
        <f>BB202*'Res. Tank Design'!$D$55</f>
        <v>101.41854089890322</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82.651410389153028</v>
      </c>
      <c r="BE206" s="168">
        <f>'Design Spec'!$D$104</f>
        <v>225</v>
      </c>
      <c r="BF206" s="183">
        <f>'Res. Tank Design'!D$55</f>
        <v>148.28386321191189</v>
      </c>
      <c r="BG206" s="183">
        <f>'Res. Tank Design'!D$56</f>
        <v>82.651410389153028</v>
      </c>
    </row>
    <row r="207" spans="54:59" ht="16.5" customHeight="1">
      <c r="BB207" s="184" t="s">
        <v>881</v>
      </c>
      <c r="BC207" s="185">
        <f t="shared" si="325"/>
        <v>2.879793265790644</v>
      </c>
      <c r="BD207" s="169">
        <f>BD217</f>
        <v>101.41854089890322</v>
      </c>
      <c r="BE207" s="169">
        <f>'Design Spec'!$D$104</f>
        <v>225</v>
      </c>
      <c r="BF207" s="186">
        <f>'Res. Tank Design'!D$55</f>
        <v>148.28386321191189</v>
      </c>
      <c r="BG207" s="186">
        <f>'Res. Tank Design'!D$56</f>
        <v>82.651410389153028</v>
      </c>
    </row>
    <row r="208" spans="54:59" ht="16.5" customHeight="1">
      <c r="BB208" s="184" t="s">
        <v>882</v>
      </c>
      <c r="BC208" s="185">
        <f t="shared" si="325"/>
        <v>2.617993877991494</v>
      </c>
      <c r="BD208" s="169">
        <f>BD216</f>
        <v>139.74331812181543</v>
      </c>
      <c r="BE208" s="169">
        <f>'Design Spec'!$D$104</f>
        <v>225</v>
      </c>
      <c r="BF208" s="186">
        <f>'Res. Tank Design'!D$55</f>
        <v>148.28386321191189</v>
      </c>
      <c r="BG208" s="186">
        <f>'Res. Tank Design'!D$56</f>
        <v>82.651410389153028</v>
      </c>
    </row>
    <row r="209" spans="2:59" ht="16.5" customHeight="1">
      <c r="BB209" s="184" t="s">
        <v>883</v>
      </c>
      <c r="BC209" s="185">
        <f t="shared" si="325"/>
        <v>2.3561944901923448</v>
      </c>
      <c r="BD209" s="169">
        <f>BD215</f>
        <v>248.03217918722481</v>
      </c>
      <c r="BE209" s="169">
        <f>'Design Spec'!$D$104</f>
        <v>225</v>
      </c>
      <c r="BF209" s="186">
        <f>'Res. Tank Design'!D$55</f>
        <v>148.28386321191189</v>
      </c>
      <c r="BG209" s="186">
        <f>'Res. Tank Design'!D$56</f>
        <v>82.651410389153028</v>
      </c>
    </row>
    <row r="210" spans="2:59" ht="16.5" customHeight="1">
      <c r="BB210" s="184" t="s">
        <v>884</v>
      </c>
      <c r="BC210" s="185">
        <f t="shared" si="325"/>
        <v>2.0943951023931953</v>
      </c>
      <c r="BD210" s="169">
        <f>BD214</f>
        <v>342.64689332922563</v>
      </c>
      <c r="BE210" s="169">
        <f>'Design Spec'!$D$104</f>
        <v>225</v>
      </c>
      <c r="BF210" s="186">
        <f>'Res. Tank Design'!D$55</f>
        <v>148.28386321191189</v>
      </c>
      <c r="BG210" s="186">
        <f>'Res. Tank Design'!D$56</f>
        <v>82.651410389153028</v>
      </c>
    </row>
    <row r="211" spans="2:59" ht="16.5" customHeight="1">
      <c r="BB211" s="184" t="s">
        <v>885</v>
      </c>
      <c r="BC211" s="185">
        <f t="shared" si="325"/>
        <v>1.8325957145940459</v>
      </c>
      <c r="BD211" s="169">
        <f>BD213</f>
        <v>360.05133811993005</v>
      </c>
      <c r="BE211" s="169">
        <f>'Design Spec'!$D$104</f>
        <v>225</v>
      </c>
      <c r="BF211" s="186">
        <f>'Res. Tank Design'!D$55</f>
        <v>148.28386321191189</v>
      </c>
      <c r="BG211" s="186">
        <f>'Res. Tank Design'!D$56</f>
        <v>82.651410389153028</v>
      </c>
    </row>
    <row r="212" spans="2:59" ht="16.5" customHeight="1">
      <c r="BB212" s="184" t="s">
        <v>793</v>
      </c>
      <c r="BC212" s="185">
        <f t="shared" ref="BC212:BC218" si="326">BF197</f>
        <v>1.5707963267948966</v>
      </c>
      <c r="BD212" s="169">
        <f t="shared" ref="BD212:BD217" si="327">BC197</f>
        <v>361.85020285263948</v>
      </c>
      <c r="BE212" s="169">
        <f>'Design Spec'!$D$104</f>
        <v>225</v>
      </c>
      <c r="BF212" s="186">
        <f>'Res. Tank Design'!D$55</f>
        <v>148.28386321191189</v>
      </c>
      <c r="BG212" s="186">
        <f>'Res. Tank Design'!D$56</f>
        <v>82.651410389153028</v>
      </c>
    </row>
    <row r="213" spans="2:59" ht="16.5" customHeight="1">
      <c r="BB213" s="184" t="s">
        <v>794</v>
      </c>
      <c r="BC213" s="185">
        <f t="shared" si="326"/>
        <v>1.3089969389957472</v>
      </c>
      <c r="BD213" s="169">
        <f t="shared" si="327"/>
        <v>360.05133811993005</v>
      </c>
      <c r="BE213" s="169">
        <f>'Design Spec'!$D$104</f>
        <v>225</v>
      </c>
      <c r="BF213" s="186">
        <f>'Res. Tank Design'!D$55</f>
        <v>148.28386321191189</v>
      </c>
      <c r="BG213" s="186">
        <f>'Res. Tank Design'!D$56</f>
        <v>82.651410389153028</v>
      </c>
    </row>
    <row r="214" spans="2:59" ht="16.5" customHeight="1">
      <c r="BB214" s="184" t="s">
        <v>795</v>
      </c>
      <c r="BC214" s="185">
        <f t="shared" si="326"/>
        <v>1.0471975511965976</v>
      </c>
      <c r="BD214" s="169">
        <f t="shared" si="327"/>
        <v>342.64689332922563</v>
      </c>
      <c r="BE214" s="169">
        <f>'Design Spec'!$D$104</f>
        <v>225</v>
      </c>
      <c r="BF214" s="186">
        <f>'Res. Tank Design'!D$55</f>
        <v>148.28386321191189</v>
      </c>
      <c r="BG214" s="186">
        <f>'Res. Tank Design'!D$56</f>
        <v>82.651410389153028</v>
      </c>
    </row>
    <row r="215" spans="2:59" ht="16.5" customHeight="1">
      <c r="BB215" s="184" t="s">
        <v>796</v>
      </c>
      <c r="BC215" s="185">
        <f t="shared" si="326"/>
        <v>0.78539816339744828</v>
      </c>
      <c r="BD215" s="169">
        <f t="shared" si="327"/>
        <v>248.03217918722481</v>
      </c>
      <c r="BE215" s="169">
        <f>'Design Spec'!$D$104</f>
        <v>225</v>
      </c>
      <c r="BF215" s="186">
        <f>'Res. Tank Design'!D$55</f>
        <v>148.28386321191189</v>
      </c>
      <c r="BG215" s="186">
        <f>'Res. Tank Design'!D$56</f>
        <v>82.651410389153028</v>
      </c>
    </row>
    <row r="216" spans="2:59" ht="16.5" customHeight="1">
      <c r="BB216" s="184" t="s">
        <v>797</v>
      </c>
      <c r="BC216" s="185">
        <f t="shared" si="326"/>
        <v>0.52359877559829882</v>
      </c>
      <c r="BD216" s="169">
        <f t="shared" si="327"/>
        <v>139.74331812181543</v>
      </c>
      <c r="BE216" s="169">
        <f>'Design Spec'!$D$104</f>
        <v>225</v>
      </c>
      <c r="BF216" s="186">
        <f>'Res. Tank Design'!D$55</f>
        <v>148.28386321191189</v>
      </c>
      <c r="BG216" s="186">
        <f>'Res. Tank Design'!D$56</f>
        <v>82.651410389153028</v>
      </c>
    </row>
    <row r="217" spans="2:59" ht="16.5" customHeight="1">
      <c r="BB217" s="184" t="s">
        <v>798</v>
      </c>
      <c r="BC217" s="185">
        <f t="shared" si="326"/>
        <v>0.26179938779914941</v>
      </c>
      <c r="BD217" s="169">
        <f t="shared" si="327"/>
        <v>101.41854089890322</v>
      </c>
      <c r="BE217" s="169">
        <f>'Design Spec'!$D$104</f>
        <v>225</v>
      </c>
      <c r="BF217" s="186">
        <f>'Res. Tank Design'!D$55</f>
        <v>148.28386321191189</v>
      </c>
      <c r="BG217" s="186">
        <f>'Res. Tank Design'!D$56</f>
        <v>82.651410389153028</v>
      </c>
    </row>
    <row r="218" spans="2:59" ht="17.25" customHeight="1">
      <c r="BB218" s="187">
        <v>0</v>
      </c>
      <c r="BC218" s="188">
        <f t="shared" si="326"/>
        <v>0</v>
      </c>
      <c r="BD218" s="189">
        <f>'Res. Tank Design'!D$56</f>
        <v>82.651410389153028</v>
      </c>
      <c r="BE218" s="170">
        <f>'Design Spec'!$D$104</f>
        <v>225</v>
      </c>
      <c r="BF218" s="189">
        <f>'Res. Tank Design'!D$55</f>
        <v>148.28386321191189</v>
      </c>
      <c r="BG218" s="189">
        <f>'Res. Tank Design'!D$56</f>
        <v>82.651410389153028</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1.0167142857142859</v>
      </c>
      <c r="D221" s="10">
        <f>$C$54</f>
        <v>1.0525800822826519</v>
      </c>
      <c r="E221" s="10">
        <f>$C$55</f>
        <v>1.1740005330921621</v>
      </c>
      <c r="F221" s="10">
        <f>$C$56</f>
        <v>1.4378511319156171</v>
      </c>
      <c r="G221" s="10">
        <f>$C$57</f>
        <v>2.0334285714285723</v>
      </c>
      <c r="H221" s="10">
        <f>$C$58</f>
        <v>3.9282823461138863</v>
      </c>
      <c r="I221" s="10">
        <f>$C$67</f>
        <v>0.52998936170212774</v>
      </c>
      <c r="J221" s="10">
        <f>$C$68</f>
        <v>0.54868536204095686</v>
      </c>
      <c r="K221" s="10">
        <f>$C$69</f>
        <v>0.61197900129272287</v>
      </c>
      <c r="L221" s="10">
        <f>$C$70</f>
        <v>0.7495181432326089</v>
      </c>
      <c r="M221" s="10">
        <f>$C$71</f>
        <v>1.0599787234042557</v>
      </c>
      <c r="N221" s="10">
        <f>$C$72</f>
        <v>2.0477216485061751</v>
      </c>
      <c r="O221" s="10">
        <f>$C$81</f>
        <v>0.78283006070961358</v>
      </c>
      <c r="P221" s="10">
        <f>$C$82</f>
        <v>0.8104453151616422</v>
      </c>
      <c r="Q221" s="10">
        <f>$C$83</f>
        <v>0.903934292560853</v>
      </c>
      <c r="R221" s="10">
        <f>$C$84</f>
        <v>1.107088888888889</v>
      </c>
      <c r="S221" s="10">
        <f>$C$85</f>
        <v>1.5656601214192276</v>
      </c>
      <c r="T221" s="10">
        <f>$C$86</f>
        <v>3.0246230929394207</v>
      </c>
    </row>
    <row r="222" spans="2:59">
      <c r="B222" s="10" t="s">
        <v>1058</v>
      </c>
      <c r="C222" s="10">
        <f>$C$41</f>
        <v>0.6363457397960991</v>
      </c>
      <c r="D222" s="10">
        <f>$C$42</f>
        <v>0.59371865802476154</v>
      </c>
      <c r="E222" s="10">
        <f>$C$43</f>
        <v>0.47725930484707424</v>
      </c>
      <c r="F222" s="10">
        <f>$C$44</f>
        <v>0.31817286989804944</v>
      </c>
      <c r="G222" s="10">
        <f>$C$45</f>
        <v>0.15908643494902472</v>
      </c>
      <c r="H222" s="10">
        <f>$C$46</f>
        <v>4.2627081771337512E-2</v>
      </c>
      <c r="I222" s="10">
        <f>$C$41</f>
        <v>0.6363457397960991</v>
      </c>
      <c r="J222" s="10">
        <f>$C$42</f>
        <v>0.59371865802476154</v>
      </c>
      <c r="K222" s="10">
        <f>$C$43</f>
        <v>0.47725930484707424</v>
      </c>
      <c r="L222" s="10">
        <f>$C$44</f>
        <v>0.31817286989804944</v>
      </c>
      <c r="M222" s="10">
        <f>$C$45</f>
        <v>0.15908643494902472</v>
      </c>
      <c r="N222" s="10">
        <f>$C$46</f>
        <v>4.2627081771337512E-2</v>
      </c>
      <c r="O222" s="10">
        <f>$C$41</f>
        <v>0.6363457397960991</v>
      </c>
      <c r="P222" s="10">
        <f>$C$42</f>
        <v>0.59371865802476154</v>
      </c>
      <c r="Q222" s="10">
        <f>$C$43</f>
        <v>0.47725930484707424</v>
      </c>
      <c r="R222" s="10">
        <f>$C$44</f>
        <v>0.31817286989804944</v>
      </c>
      <c r="S222" s="10">
        <f>$C$45</f>
        <v>0.15908643494902472</v>
      </c>
      <c r="T222" s="10">
        <f>$C$46</f>
        <v>4.2627081771337512E-2</v>
      </c>
    </row>
    <row r="223" spans="2:59">
      <c r="B223" s="10" t="s">
        <v>1059</v>
      </c>
      <c r="C223" s="10">
        <f t="shared" ref="C223:T223" si="328">(C222^2-2*$C$23*(1+$C$23))/$C$23^2</f>
        <v>-4.4440606692323774</v>
      </c>
      <c r="D223" s="10">
        <f t="shared" si="328"/>
        <v>-4.7021857421152591</v>
      </c>
      <c r="E223" s="10">
        <f t="shared" si="328"/>
        <v>-5.3161903764432124</v>
      </c>
      <c r="F223" s="10">
        <f t="shared" si="328"/>
        <v>-5.9391401673080946</v>
      </c>
      <c r="G223" s="10">
        <f t="shared" si="328"/>
        <v>-6.3129100418270232</v>
      </c>
      <c r="H223" s="10">
        <f t="shared" si="328"/>
        <v>-6.428554843463071</v>
      </c>
      <c r="I223" s="10">
        <f t="shared" si="328"/>
        <v>-4.4440606692323774</v>
      </c>
      <c r="J223" s="10">
        <f t="shared" si="328"/>
        <v>-4.7021857421152591</v>
      </c>
      <c r="K223" s="10">
        <f t="shared" si="328"/>
        <v>-5.3161903764432124</v>
      </c>
      <c r="L223" s="10">
        <f t="shared" si="328"/>
        <v>-5.9391401673080946</v>
      </c>
      <c r="M223" s="10">
        <f t="shared" si="328"/>
        <v>-6.3129100418270232</v>
      </c>
      <c r="N223" s="10">
        <f t="shared" si="328"/>
        <v>-6.428554843463071</v>
      </c>
      <c r="O223" s="10">
        <f t="shared" si="328"/>
        <v>-4.4440606692323774</v>
      </c>
      <c r="P223" s="10">
        <f t="shared" si="328"/>
        <v>-4.7021857421152591</v>
      </c>
      <c r="Q223" s="10">
        <f t="shared" si="328"/>
        <v>-5.3161903764432124</v>
      </c>
      <c r="R223" s="10">
        <f t="shared" si="328"/>
        <v>-5.9391401673080946</v>
      </c>
      <c r="S223" s="10">
        <f t="shared" si="328"/>
        <v>-6.3129100418270232</v>
      </c>
      <c r="T223" s="10">
        <f t="shared" si="328"/>
        <v>-6.428554843463071</v>
      </c>
    </row>
    <row r="224" spans="2:59">
      <c r="B224" s="10" t="s">
        <v>1060</v>
      </c>
      <c r="C224" s="10">
        <f t="shared" ref="C224:T224" si="329">((1+$C$23)^2-2*C222^2-1/C221^2)/$C$23^2</f>
        <v>1.6111494459166935</v>
      </c>
      <c r="D224" s="10">
        <f t="shared" si="329"/>
        <v>2.4464147726514383</v>
      </c>
      <c r="E224" s="10">
        <f t="shared" si="329"/>
        <v>4.5459897241003793</v>
      </c>
      <c r="F224" s="10">
        <f t="shared" si="329"/>
        <v>6.9824701695921574</v>
      </c>
      <c r="G224" s="10">
        <f t="shared" si="329"/>
        <v>8.920590782392031</v>
      </c>
      <c r="H224" s="10">
        <f t="shared" si="329"/>
        <v>10.023446068457162</v>
      </c>
      <c r="I224" s="10">
        <f t="shared" si="329"/>
        <v>-11.152512125609451</v>
      </c>
      <c r="J224" s="10">
        <f t="shared" si="329"/>
        <v>-9.4622435962360534</v>
      </c>
      <c r="K224" s="10">
        <f t="shared" si="329"/>
        <v>-5.026756454544226</v>
      </c>
      <c r="L224" s="10">
        <f t="shared" si="329"/>
        <v>0.60063938382908599</v>
      </c>
      <c r="M224" s="10">
        <f t="shared" si="329"/>
        <v>5.7296753895104953</v>
      </c>
      <c r="N224" s="10">
        <f t="shared" si="329"/>
        <v>9.1684428658185144</v>
      </c>
      <c r="O224" s="10">
        <f t="shared" si="329"/>
        <v>-1.6596008153803741</v>
      </c>
      <c r="P224" s="10">
        <f t="shared" si="329"/>
        <v>-0.60523676585602171</v>
      </c>
      <c r="Q224" s="10">
        <f t="shared" si="329"/>
        <v>2.0929270281275785</v>
      </c>
      <c r="R224" s="10">
        <f t="shared" si="329"/>
        <v>5.3470950389436238</v>
      </c>
      <c r="S224" s="10">
        <f t="shared" si="329"/>
        <v>8.1029032170677642</v>
      </c>
      <c r="T224" s="10">
        <f t="shared" si="329"/>
        <v>9.8043473456675514</v>
      </c>
    </row>
    <row r="225" spans="2:20">
      <c r="B225" s="10" t="s">
        <v>1061</v>
      </c>
      <c r="C225" s="10">
        <f t="shared" ref="C225:T225" si="330">C222^2/$C$23^2</f>
        <v>1.9934393307676221</v>
      </c>
      <c r="D225" s="10">
        <f t="shared" si="330"/>
        <v>1.7353142578847403</v>
      </c>
      <c r="E225" s="10">
        <f t="shared" si="330"/>
        <v>1.1213096235567872</v>
      </c>
      <c r="F225" s="10">
        <f t="shared" si="330"/>
        <v>0.4983598326919052</v>
      </c>
      <c r="G225" s="10">
        <f t="shared" si="330"/>
        <v>0.1245899581729763</v>
      </c>
      <c r="H225" s="10">
        <f t="shared" si="330"/>
        <v>8.9451565369291237E-3</v>
      </c>
      <c r="I225" s="10">
        <f t="shared" si="330"/>
        <v>1.9934393307676221</v>
      </c>
      <c r="J225" s="10">
        <f t="shared" si="330"/>
        <v>1.7353142578847403</v>
      </c>
      <c r="K225" s="10">
        <f t="shared" si="330"/>
        <v>1.1213096235567872</v>
      </c>
      <c r="L225" s="10">
        <f t="shared" si="330"/>
        <v>0.4983598326919052</v>
      </c>
      <c r="M225" s="10">
        <f t="shared" si="330"/>
        <v>0.1245899581729763</v>
      </c>
      <c r="N225" s="10">
        <f t="shared" si="330"/>
        <v>8.9451565369291237E-3</v>
      </c>
      <c r="O225" s="10">
        <f t="shared" si="330"/>
        <v>1.9934393307676221</v>
      </c>
      <c r="P225" s="10">
        <f t="shared" si="330"/>
        <v>1.7353142578847403</v>
      </c>
      <c r="Q225" s="10">
        <f t="shared" si="330"/>
        <v>1.1213096235567872</v>
      </c>
      <c r="R225" s="10">
        <f t="shared" si="330"/>
        <v>0.4983598326919052</v>
      </c>
      <c r="S225" s="10">
        <f t="shared" si="330"/>
        <v>0.1245899581729763</v>
      </c>
      <c r="T225" s="10">
        <f t="shared" si="330"/>
        <v>8.9451565369291237E-3</v>
      </c>
    </row>
    <row r="226" spans="2:20">
      <c r="B226" s="10" t="s">
        <v>1062</v>
      </c>
      <c r="C226" s="10">
        <f t="shared" ref="C226:T226" si="331">C224-C223^2/3</f>
        <v>-4.9720756313560148</v>
      </c>
      <c r="D226" s="10">
        <f t="shared" si="331"/>
        <v>-4.9237688117992384</v>
      </c>
      <c r="E226" s="10">
        <f t="shared" si="331"/>
        <v>-4.8746369820954287</v>
      </c>
      <c r="F226" s="10">
        <f t="shared" si="331"/>
        <v>-4.7753251393853153</v>
      </c>
      <c r="G226" s="10">
        <f t="shared" si="331"/>
        <v>-4.3636869496747899</v>
      </c>
      <c r="H226" s="10">
        <f t="shared" si="331"/>
        <v>-3.751993056680341</v>
      </c>
      <c r="I226" s="10">
        <f t="shared" si="331"/>
        <v>-17.735737202882159</v>
      </c>
      <c r="J226" s="10">
        <f t="shared" si="331"/>
        <v>-16.832427180686729</v>
      </c>
      <c r="K226" s="10">
        <f t="shared" si="331"/>
        <v>-14.447383160740035</v>
      </c>
      <c r="L226" s="10">
        <f t="shared" si="331"/>
        <v>-11.157155925148388</v>
      </c>
      <c r="M226" s="10">
        <f t="shared" si="331"/>
        <v>-7.5546023425563256</v>
      </c>
      <c r="N226" s="10">
        <f t="shared" si="331"/>
        <v>-4.6069962593189882</v>
      </c>
      <c r="O226" s="10">
        <f t="shared" si="331"/>
        <v>-8.2428258926530837</v>
      </c>
      <c r="P226" s="10">
        <f t="shared" si="331"/>
        <v>-7.975420350306698</v>
      </c>
      <c r="Q226" s="10">
        <f t="shared" si="331"/>
        <v>-7.32769967806823</v>
      </c>
      <c r="R226" s="10">
        <f t="shared" si="331"/>
        <v>-6.4107002700338489</v>
      </c>
      <c r="S226" s="10">
        <f t="shared" si="331"/>
        <v>-5.1813745149990567</v>
      </c>
      <c r="T226" s="10">
        <f t="shared" si="331"/>
        <v>-3.9710917794699512</v>
      </c>
    </row>
    <row r="227" spans="2:20">
      <c r="B227" s="10" t="s">
        <v>1063</v>
      </c>
      <c r="C227" s="10">
        <f t="shared" ref="C227:T227" si="332">2*C223^3/27-C223*C224/3+C225</f>
        <v>-2.1212679615281664</v>
      </c>
      <c r="D227" s="10">
        <f t="shared" si="332"/>
        <v>-2.1315140027115493</v>
      </c>
      <c r="E227" s="10">
        <f t="shared" si="332"/>
        <v>-1.9522069990062838</v>
      </c>
      <c r="F227" s="10">
        <f t="shared" si="332"/>
        <v>-1.1963936832307136</v>
      </c>
      <c r="G227" s="10">
        <f t="shared" si="332"/>
        <v>0.26011893608511055</v>
      </c>
      <c r="H227" s="10">
        <f t="shared" si="332"/>
        <v>1.8085547673421243</v>
      </c>
      <c r="I227" s="10">
        <f t="shared" si="332"/>
        <v>-21.028763423332187</v>
      </c>
      <c r="J227" s="10">
        <f t="shared" si="332"/>
        <v>-20.797088532679656</v>
      </c>
      <c r="K227" s="10">
        <f t="shared" si="332"/>
        <v>-18.915720702687612</v>
      </c>
      <c r="L227" s="10">
        <f t="shared" si="332"/>
        <v>-13.830589536793658</v>
      </c>
      <c r="M227" s="10">
        <f t="shared" si="332"/>
        <v>-6.4545350060289781</v>
      </c>
      <c r="N227" s="10">
        <f t="shared" si="332"/>
        <v>-2.3590225824249356E-2</v>
      </c>
      <c r="O227" s="10">
        <f t="shared" si="332"/>
        <v>-6.9664054932321076</v>
      </c>
      <c r="P227" s="10">
        <f t="shared" si="332"/>
        <v>-6.9146581208028408</v>
      </c>
      <c r="Q227" s="10">
        <f t="shared" si="332"/>
        <v>-6.2991897647204311</v>
      </c>
      <c r="R227" s="10">
        <f t="shared" si="332"/>
        <v>-4.4339677255811889</v>
      </c>
      <c r="S227" s="10">
        <f t="shared" si="332"/>
        <v>-1.4605437446524401</v>
      </c>
      <c r="T227" s="10">
        <f t="shared" si="332"/>
        <v>1.3390587154802145</v>
      </c>
    </row>
    <row r="228" spans="2:20">
      <c r="B228" s="10" t="s">
        <v>1064</v>
      </c>
      <c r="C228" s="10">
        <f t="shared" ref="C228:T228" si="333">IF(C226&lt;0,2*SQRT(-C226/3),NA())</f>
        <v>2.5747687614893406</v>
      </c>
      <c r="D228" s="10">
        <f t="shared" si="333"/>
        <v>2.5622304897098904</v>
      </c>
      <c r="E228" s="10">
        <f t="shared" si="333"/>
        <v>2.5494148301379354</v>
      </c>
      <c r="F228" s="10">
        <f t="shared" si="333"/>
        <v>2.5233113533305964</v>
      </c>
      <c r="G228" s="10">
        <f t="shared" si="333"/>
        <v>2.4121047378240137</v>
      </c>
      <c r="H228" s="10">
        <f t="shared" si="333"/>
        <v>2.2366621132632263</v>
      </c>
      <c r="I228" s="10">
        <f t="shared" si="333"/>
        <v>4.8628849054694765</v>
      </c>
      <c r="J228" s="10">
        <f t="shared" si="333"/>
        <v>4.7374292861124205</v>
      </c>
      <c r="K228" s="10">
        <f t="shared" si="333"/>
        <v>4.3889836577109032</v>
      </c>
      <c r="L228" s="10">
        <f t="shared" si="333"/>
        <v>3.8569687450377206</v>
      </c>
      <c r="M228" s="10">
        <f t="shared" si="333"/>
        <v>3.1737679693714904</v>
      </c>
      <c r="N228" s="10">
        <f t="shared" si="333"/>
        <v>2.478439363610089</v>
      </c>
      <c r="O228" s="10">
        <f t="shared" si="333"/>
        <v>3.3151824268865573</v>
      </c>
      <c r="P228" s="10">
        <f t="shared" si="333"/>
        <v>3.2609651639367341</v>
      </c>
      <c r="Q228" s="10">
        <f t="shared" si="333"/>
        <v>3.1257425097765661</v>
      </c>
      <c r="R228" s="10">
        <f t="shared" si="333"/>
        <v>2.9236279448734805</v>
      </c>
      <c r="S228" s="10">
        <f t="shared" si="333"/>
        <v>2.6284024336718446</v>
      </c>
      <c r="T228" s="10">
        <f t="shared" si="333"/>
        <v>2.3010408599790808</v>
      </c>
    </row>
    <row r="229" spans="2:20">
      <c r="B229" s="10" t="s">
        <v>1065</v>
      </c>
      <c r="C229" s="10">
        <f t="shared" ref="C229:T229" si="334">IF(ISNA(C228),NA(),3*C227/(C226*C228))</f>
        <v>0.49709664249769997</v>
      </c>
      <c r="D229" s="10">
        <f t="shared" si="334"/>
        <v>0.50686650955639134</v>
      </c>
      <c r="E229" s="10">
        <f t="shared" si="334"/>
        <v>0.47126407404649046</v>
      </c>
      <c r="F229" s="10">
        <f t="shared" si="334"/>
        <v>0.2978664417281926</v>
      </c>
      <c r="G229" s="10">
        <f t="shared" si="334"/>
        <v>-7.413844541952383E-2</v>
      </c>
      <c r="H229" s="10">
        <f t="shared" si="334"/>
        <v>-0.64653272510317772</v>
      </c>
      <c r="I229" s="10">
        <f t="shared" si="334"/>
        <v>0.73146197453037398</v>
      </c>
      <c r="J229" s="10">
        <f t="shared" si="334"/>
        <v>0.78240985224024784</v>
      </c>
      <c r="K229" s="10">
        <f t="shared" si="334"/>
        <v>0.8949339690335385</v>
      </c>
      <c r="L229" s="10">
        <f t="shared" si="334"/>
        <v>0.96418933892233361</v>
      </c>
      <c r="M229" s="10">
        <f t="shared" si="334"/>
        <v>0.80760580782590896</v>
      </c>
      <c r="N229" s="10">
        <f t="shared" si="334"/>
        <v>6.1980802542973713E-3</v>
      </c>
      <c r="O229" s="10">
        <f t="shared" si="334"/>
        <v>0.76479747645395768</v>
      </c>
      <c r="P229" s="10">
        <f t="shared" si="334"/>
        <v>0.79761300319045125</v>
      </c>
      <c r="Q229" s="10">
        <f t="shared" si="334"/>
        <v>0.82505915118705375</v>
      </c>
      <c r="R229" s="10">
        <f t="shared" si="334"/>
        <v>0.7097186305937031</v>
      </c>
      <c r="S229" s="10">
        <f t="shared" si="334"/>
        <v>0.32173549647759253</v>
      </c>
      <c r="T229" s="10">
        <f t="shared" si="334"/>
        <v>-0.43962929082797719</v>
      </c>
    </row>
    <row r="230" spans="2:20">
      <c r="B230" s="10" t="s">
        <v>1066</v>
      </c>
      <c r="C230" s="10">
        <f t="shared" ref="C230:T230" si="335">IF(OR(ISNA(C229),ABS(C229)&gt;1),NA(),ACOS(C229)/3)</f>
        <v>0.3501822758916675</v>
      </c>
      <c r="D230" s="10">
        <f t="shared" si="335"/>
        <v>0.34641682459403017</v>
      </c>
      <c r="E230" s="10">
        <f t="shared" si="335"/>
        <v>0.36002429778938644</v>
      </c>
      <c r="F230" s="10">
        <f t="shared" si="335"/>
        <v>0.42277982180237189</v>
      </c>
      <c r="G230" s="10">
        <f t="shared" si="335"/>
        <v>0.54833428595358735</v>
      </c>
      <c r="H230" s="10">
        <f t="shared" si="335"/>
        <v>0.75794233912355402</v>
      </c>
      <c r="I230" s="10">
        <f t="shared" si="335"/>
        <v>0.25011093550814256</v>
      </c>
      <c r="J230" s="10">
        <f t="shared" si="335"/>
        <v>0.22409008413259049</v>
      </c>
      <c r="K230" s="10">
        <f t="shared" si="335"/>
        <v>0.15417104386196753</v>
      </c>
      <c r="L230" s="10">
        <f t="shared" si="335"/>
        <v>8.9475583058454156E-2</v>
      </c>
      <c r="M230" s="10">
        <f t="shared" si="335"/>
        <v>0.21023847773926055</v>
      </c>
      <c r="N230" s="10">
        <f t="shared" si="335"/>
        <v>0.52153273561848856</v>
      </c>
      <c r="O230" s="10">
        <f t="shared" si="335"/>
        <v>0.23335646681215139</v>
      </c>
      <c r="P230" s="10">
        <f t="shared" si="335"/>
        <v>0.21582298379484835</v>
      </c>
      <c r="Q230" s="10">
        <f t="shared" si="335"/>
        <v>0.20016315036328591</v>
      </c>
      <c r="R230" s="10">
        <f t="shared" si="335"/>
        <v>0.26056586500050261</v>
      </c>
      <c r="S230" s="10">
        <f t="shared" si="335"/>
        <v>0.41441148448956194</v>
      </c>
      <c r="T230" s="10">
        <f t="shared" si="335"/>
        <v>0.67532740814915837</v>
      </c>
    </row>
    <row r="231" spans="2:20">
      <c r="B231" s="10" t="s">
        <v>1067</v>
      </c>
      <c r="C231" s="10">
        <f t="shared" ref="C231:T231" si="336">IF(ISNA(C230),NA(),C228*COS(C230-2*PI()/3)-C223/3)</f>
        <v>1.0370807979127725</v>
      </c>
      <c r="D231" s="10">
        <f t="shared" si="336"/>
        <v>1.1157858623831591</v>
      </c>
      <c r="E231" s="10">
        <f t="shared" si="336"/>
        <v>1.3569014429170592</v>
      </c>
      <c r="F231" s="10">
        <f t="shared" si="336"/>
        <v>1.7257465285007381</v>
      </c>
      <c r="G231" s="10">
        <f t="shared" si="336"/>
        <v>2.1639619049254719</v>
      </c>
      <c r="H231" s="10">
        <f t="shared" si="336"/>
        <v>2.6622147150003714</v>
      </c>
      <c r="I231" s="10">
        <f t="shared" si="336"/>
        <v>0.16793071741960897</v>
      </c>
      <c r="J231" s="10">
        <f t="shared" si="336"/>
        <v>0.16961291793228828</v>
      </c>
      <c r="K231" s="10">
        <f t="shared" si="336"/>
        <v>0.18728120157202666</v>
      </c>
      <c r="L231" s="10">
        <f t="shared" si="336"/>
        <v>0.3574141369003363</v>
      </c>
      <c r="M231" s="10">
        <f t="shared" si="336"/>
        <v>1.1259670509451183</v>
      </c>
      <c r="N231" s="10">
        <f t="shared" si="336"/>
        <v>2.1377310633178017</v>
      </c>
      <c r="O231" s="10">
        <f t="shared" si="336"/>
        <v>0.53260003742587292</v>
      </c>
      <c r="P231" s="10">
        <f t="shared" si="336"/>
        <v>0.57951945363742607</v>
      </c>
      <c r="Q231" s="10">
        <f t="shared" si="336"/>
        <v>0.77862148602107539</v>
      </c>
      <c r="R231" s="10">
        <f t="shared" si="336"/>
        <v>1.219539894812002</v>
      </c>
      <c r="S231" s="10">
        <f t="shared" si="336"/>
        <v>1.8178851047385831</v>
      </c>
      <c r="T231" s="10">
        <f t="shared" si="336"/>
        <v>2.4906473369919682</v>
      </c>
    </row>
    <row r="232" spans="2:20">
      <c r="B232" s="10" t="s">
        <v>1180</v>
      </c>
      <c r="C232" s="10">
        <f t="shared" ref="C232:T232" si="337">IF(OR(ISNA(C231),C231&lt;=0),NA(),1/SQRT(C231))</f>
        <v>0.98195978791719163</v>
      </c>
      <c r="D232" s="10">
        <f t="shared" si="337"/>
        <v>0.94669388705083135</v>
      </c>
      <c r="E232" s="10">
        <f t="shared" si="337"/>
        <v>0.85847143291240779</v>
      </c>
      <c r="F232" s="10">
        <f t="shared" si="337"/>
        <v>0.76122228830401251</v>
      </c>
      <c r="G232" s="10">
        <f t="shared" si="337"/>
        <v>0.67979066186211323</v>
      </c>
      <c r="H232" s="10">
        <f t="shared" si="337"/>
        <v>0.61288424897329774</v>
      </c>
      <c r="I232" s="10">
        <f t="shared" si="337"/>
        <v>2.4402534100121249</v>
      </c>
      <c r="J232" s="10">
        <f t="shared" si="337"/>
        <v>2.4281221861975775</v>
      </c>
      <c r="K232" s="10">
        <f t="shared" si="337"/>
        <v>2.310749706052305</v>
      </c>
      <c r="L232" s="10">
        <f t="shared" si="337"/>
        <v>1.6726849018814878</v>
      </c>
      <c r="M232" s="10">
        <f t="shared" si="337"/>
        <v>0.94240408291837385</v>
      </c>
      <c r="N232" s="10">
        <f t="shared" si="337"/>
        <v>0.68394860170298077</v>
      </c>
      <c r="O232" s="10">
        <f t="shared" si="337"/>
        <v>1.3702487156954204</v>
      </c>
      <c r="P232" s="10">
        <f t="shared" si="337"/>
        <v>1.31360862226235</v>
      </c>
      <c r="Q232" s="10">
        <f t="shared" si="337"/>
        <v>1.1332789134278374</v>
      </c>
      <c r="R232" s="10">
        <f t="shared" si="337"/>
        <v>0.90552822990310455</v>
      </c>
      <c r="S232" s="10">
        <f t="shared" si="337"/>
        <v>0.74168036947625626</v>
      </c>
      <c r="T232" s="10">
        <f t="shared" si="337"/>
        <v>0.63364189044822927</v>
      </c>
    </row>
    <row r="233" spans="2:20">
      <c r="B233" s="10" t="s">
        <v>1181</v>
      </c>
      <c r="C233" s="10">
        <f ca="1">IF(MAX(C60:CH60)&gt;0,MAX(C60:CH60),NA())</f>
        <v>0.98201947167738768</v>
      </c>
      <c r="D233" s="10">
        <f ca="1">IF(MAX(C61:CH61)&gt;0,MAX(C61:CH61),NA())</f>
        <v>0.94677418380264322</v>
      </c>
      <c r="E233" s="10">
        <f ca="1">IF(MAX(C62:CH62)&gt;0,MAX(C62:CH62),NA())</f>
        <v>0.85856415097553573</v>
      </c>
      <c r="F233" s="10">
        <f ca="1">IF(MAX(C63:CH63)&gt;0,MAX(C63:CH63),NA())</f>
        <v>0.76142589109225922</v>
      </c>
      <c r="G233" s="10">
        <f ca="1">IF(MAX(C64:CH64)&gt;0,MAX(C64:CH64),NA())</f>
        <v>0.67991685843620131</v>
      </c>
      <c r="H233" s="10">
        <f ca="1">IF(MAX(C65:CH65)&gt;0,MAX(C65:CH65),NA())</f>
        <v>0.61362601606294154</v>
      </c>
      <c r="I233" s="10">
        <f ca="1">IF(MAX(C74:CH74)&gt;0,MAX(C74:CH74),NA())</f>
        <v>2.4418400237867472</v>
      </c>
      <c r="J233" s="10">
        <f ca="1">IF(MAX(C75:CH75)&gt;0,MAX(C75:CH75),NA())</f>
        <v>2.4299185066402167</v>
      </c>
      <c r="K233" s="10">
        <f ca="1">IF(MAX(C76:CH76)&gt;0,MAX(C76:CH76),NA())</f>
        <v>2.311394103814437</v>
      </c>
      <c r="L233" s="10">
        <f ca="1">IF(MAX(C77:CH77)&gt;0,MAX(C77:CH77),NA())</f>
        <v>1.6780914088278231</v>
      </c>
      <c r="M233" s="10">
        <f ca="1">IF(MAX(C78:CH78)&gt;0,MAX(C78:CH78),NA())</f>
        <v>0.94241823022999482</v>
      </c>
      <c r="N233" s="10">
        <f ca="1">IF(MAX(C79:CH79)&gt;0,MAX(C79:CH79),NA())</f>
        <v>0.68420654737172337</v>
      </c>
      <c r="O233" s="10">
        <f ca="1">IF(MAX(C88:CH88)&gt;0,MAX(C88:CH88),NA())</f>
        <v>1.3703179195655151</v>
      </c>
      <c r="P233" s="10">
        <f ca="1">IF(MAX(C89:CH89)&gt;0,MAX(C89:CH89),NA())</f>
        <v>1.3203283045066183</v>
      </c>
      <c r="Q233" s="10">
        <f ca="1">IF(MAX(C90:CH90)&gt;0,MAX(C90:CH90),NA())</f>
        <v>1.1434244938756755</v>
      </c>
      <c r="R233" s="10">
        <f ca="1">IF(MAX(C91:CH91)&gt;0,MAX(C91:CH91),NA())</f>
        <v>0.90566929626143533</v>
      </c>
      <c r="S233" s="10">
        <f ca="1">IF(MAX(C92:CH92)&gt;0,MAX(C92:CH92),NA())</f>
        <v>0.74183745753961672</v>
      </c>
      <c r="T233" s="10">
        <f ca="1">IF(MAX(C93:CH93)&gt;0,MAX(C93:CH93),NA())</f>
        <v>0.63418212182269773</v>
      </c>
    </row>
    <row r="234" spans="2:20">
      <c r="B234" s="10" t="s">
        <v>1182</v>
      </c>
      <c r="C234" s="10">
        <f t="shared" ref="C234:T234" ca="1" si="338">IF(OR(ISNA(C232),ISNA(C233)),NA(),(C232/C233-1)*100)</f>
        <v>-6.0776554760222368E-3</v>
      </c>
      <c r="D234" s="10">
        <f t="shared" ca="1" si="338"/>
        <v>-8.4810880129126964E-3</v>
      </c>
      <c r="E234" s="10">
        <f t="shared" ca="1" si="338"/>
        <v>-1.079920038853377E-2</v>
      </c>
      <c r="F234" s="10">
        <f t="shared" ca="1" si="338"/>
        <v>-2.6739672321185459E-2</v>
      </c>
      <c r="G234" s="10">
        <f t="shared" ca="1" si="338"/>
        <v>-1.8560589066485278E-2</v>
      </c>
      <c r="H234" s="10">
        <f t="shared" ca="1" si="338"/>
        <v>-0.12088260116528415</v>
      </c>
      <c r="I234" s="10">
        <f t="shared" ca="1" si="338"/>
        <v>-6.4976155651741418E-2</v>
      </c>
      <c r="J234" s="10">
        <f t="shared" ca="1" si="338"/>
        <v>-7.3925131140428757E-2</v>
      </c>
      <c r="K234" s="10">
        <f t="shared" ca="1" si="338"/>
        <v>-2.7879181705470213E-2</v>
      </c>
      <c r="L234" s="10">
        <f t="shared" ca="1" si="338"/>
        <v>-0.32218190963220206</v>
      </c>
      <c r="M234" s="10">
        <f t="shared" ca="1" si="338"/>
        <v>-1.5011712599766192E-3</v>
      </c>
      <c r="N234" s="10">
        <f t="shared" ca="1" si="338"/>
        <v>-3.7699970825100237E-2</v>
      </c>
      <c r="O234" s="10">
        <f t="shared" ca="1" si="338"/>
        <v>-5.0502054382062234E-3</v>
      </c>
      <c r="P234" s="10">
        <f t="shared" ca="1" si="338"/>
        <v>-0.50894025533894105</v>
      </c>
      <c r="Q234" s="10">
        <f t="shared" ca="1" si="338"/>
        <v>-0.88729780603608033</v>
      </c>
      <c r="R234" s="10">
        <f t="shared" ca="1" si="338"/>
        <v>-1.5575923674693293E-2</v>
      </c>
      <c r="S234" s="10">
        <f t="shared" ca="1" si="338"/>
        <v>-2.1175536738393674E-2</v>
      </c>
      <c r="T234" s="10">
        <f t="shared" ca="1" si="338"/>
        <v>-8.5185525715514299E-2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4.9819000000000004</v>
      </c>
      <c r="D9" s="10">
        <f>IF('Res. Tank Design'!$F$9,'Res. Tank Design'!$F$9,'Res. Tank Design'!$D$9)</f>
        <v>4.9819000000000004</v>
      </c>
      <c r="E9" s="10">
        <f>IF('Res. Tank Design'!$F$9,'Res. Tank Design'!$F$9,'Res. Tank Design'!$D$9)</f>
        <v>4.9819000000000004</v>
      </c>
      <c r="F9" s="10">
        <f>IF('Res. Tank Design'!$F$9,'Res. Tank Design'!$F$9,'Res. Tank Design'!$D$9)</f>
        <v>4.9819000000000004</v>
      </c>
      <c r="G9" s="10">
        <f>IF('Res. Tank Design'!$F$9,'Res. Tank Design'!$F$9,'Res. Tank Design'!$D$9)</f>
        <v>4.9819000000000004</v>
      </c>
      <c r="H9" s="10">
        <f>IF('Res. Tank Design'!$F$9,'Res. Tank Design'!$F$9,'Res. Tank Design'!$D$9)</f>
        <v>4.9819000000000004</v>
      </c>
      <c r="I9" s="10">
        <f>IF('Res. Tank Design'!$F$9,'Res. Tank Design'!$F$9,'Res. Tank Design'!$D$9)</f>
        <v>4.9819000000000004</v>
      </c>
      <c r="J9" s="10">
        <f>IF('Res. Tank Design'!$F$9,'Res. Tank Design'!$F$9,'Res. Tank Design'!$D$9)</f>
        <v>4.9819000000000004</v>
      </c>
      <c r="K9" s="10">
        <f>IF('Res. Tank Design'!$F$9,'Res. Tank Design'!$F$9,'Res. Tank Design'!$D$9)</f>
        <v>4.9819000000000004</v>
      </c>
      <c r="L9" s="10">
        <f>IF('Res. Tank Design'!$F$9,'Res. Tank Design'!$F$9,'Res. Tank Design'!$D$9)</f>
        <v>4.9819000000000004</v>
      </c>
      <c r="M9" s="10">
        <f>IF('Res. Tank Design'!$F$9,'Res. Tank Design'!$F$9,'Res. Tank Design'!$D$9)</f>
        <v>4.9819000000000004</v>
      </c>
      <c r="N9" s="10">
        <f>IF('Res. Tank Design'!$F$9,'Res. Tank Design'!$F$9,'Res. Tank Design'!$D$9)</f>
        <v>4.9819000000000004</v>
      </c>
      <c r="O9" s="10">
        <f>IF('Res. Tank Design'!$F$9,'Res. Tank Design'!$F$9,'Res. Tank Design'!$D$9)</f>
        <v>4.9819000000000004</v>
      </c>
      <c r="P9" s="10">
        <f>IF('Res. Tank Design'!$F$9,'Res. Tank Design'!$F$9,'Res. Tank Design'!$D$9)</f>
        <v>4.9819000000000004</v>
      </c>
      <c r="Q9" s="10">
        <f>IF('Res. Tank Design'!$F$9,'Res. Tank Design'!$F$9,'Res. Tank Design'!$D$9)</f>
        <v>4.9819000000000004</v>
      </c>
      <c r="R9" s="10">
        <f>IF('Res. Tank Design'!$F$9,'Res. Tank Design'!$F$9,'Res. Tank Design'!$D$9)</f>
        <v>4.9819000000000004</v>
      </c>
      <c r="S9" s="10">
        <f>IF('Res. Tank Design'!$F$9,'Res. Tank Design'!$F$9,'Res. Tank Design'!$D$9)</f>
        <v>4.9819000000000004</v>
      </c>
      <c r="T9" s="10">
        <f>IF('Res. Tank Design'!$F$9,'Res. Tank Design'!$F$9,'Res. Tank Design'!$D$9)</f>
        <v>4.9819000000000004</v>
      </c>
      <c r="U9" s="10">
        <f>IF('Res. Tank Design'!$F$9,'Res. Tank Design'!$F$9,'Res. Tank Design'!$D$9)</f>
        <v>4.9819000000000004</v>
      </c>
      <c r="V9" s="10">
        <f>IF('Res. Tank Design'!$F$9,'Res. Tank Design'!$F$9,'Res. Tank Design'!$D$9)</f>
        <v>4.9819000000000004</v>
      </c>
      <c r="W9" s="10">
        <f>IF('Res. Tank Design'!$F$9,'Res. Tank Design'!$F$9,'Res. Tank Design'!$D$9)</f>
        <v>4.9819000000000004</v>
      </c>
      <c r="X9" s="10">
        <f>IF('Res. Tank Design'!$F$9,'Res. Tank Design'!$F$9,'Res. Tank Design'!$D$9)</f>
        <v>4.9819000000000004</v>
      </c>
      <c r="Y9" s="10">
        <f>IF('Res. Tank Design'!$F$9,'Res. Tank Design'!$F$9,'Res. Tank Design'!$D$9)</f>
        <v>4.9819000000000004</v>
      </c>
      <c r="Z9" s="10">
        <f>IF('Res. Tank Design'!$F$9,'Res. Tank Design'!$F$9,'Res. Tank Design'!$D$9)</f>
        <v>4.9819000000000004</v>
      </c>
      <c r="AA9" s="10">
        <f>IF('Res. Tank Design'!$F$9,'Res. Tank Design'!$F$9,'Res. Tank Design'!$D$9)</f>
        <v>4.9819000000000004</v>
      </c>
      <c r="AB9" s="10">
        <f>IF('Res. Tank Design'!$F$9,'Res. Tank Design'!$F$9,'Res. Tank Design'!$D$9)</f>
        <v>4.9819000000000004</v>
      </c>
      <c r="AC9" s="10">
        <f>IF('Res. Tank Design'!$F$9,'Res. Tank Design'!$F$9,'Res. Tank Design'!$D$9)</f>
        <v>4.9819000000000004</v>
      </c>
      <c r="AD9" s="10">
        <f>IF('Res. Tank Design'!$F$9,'Res. Tank Design'!$F$9,'Res. Tank Design'!$D$9)</f>
        <v>4.9819000000000004</v>
      </c>
      <c r="AE9" s="10">
        <f>IF('Res. Tank Design'!$F$9,'Res. Tank Design'!$F$9,'Res. Tank Design'!$D$9)</f>
        <v>4.9819000000000004</v>
      </c>
      <c r="AF9" s="10">
        <f>IF('Res. Tank Design'!$F$9,'Res. Tank Design'!$F$9,'Res. Tank Design'!$D$9)</f>
        <v>4.9819000000000004</v>
      </c>
      <c r="AG9" s="10">
        <f>IF('Res. Tank Design'!$F$9,'Res. Tank Design'!$F$9,'Res. Tank Design'!$D$9)</f>
        <v>4.9819000000000004</v>
      </c>
      <c r="AH9" s="10">
        <f>IF('Res. Tank Design'!$F$9,'Res. Tank Design'!$F$9,'Res. Tank Design'!$D$9)</f>
        <v>4.9819000000000004</v>
      </c>
      <c r="AI9" s="10">
        <f>IF('Res. Tank Design'!$F$9,'Res. Tank Design'!$F$9,'Res. Tank Design'!$D$9)</f>
        <v>4.9819000000000004</v>
      </c>
      <c r="AJ9" s="10">
        <f>IF('Res. Tank Design'!$F$9,'Res. Tank Design'!$F$9,'Res. Tank Design'!$D$9)</f>
        <v>4.9819000000000004</v>
      </c>
      <c r="AK9" s="10">
        <f>IF('Res. Tank Design'!$F$9,'Res. Tank Design'!$F$9,'Res. Tank Design'!$D$9)</f>
        <v>4.9819000000000004</v>
      </c>
      <c r="AL9" s="10">
        <f>IF('Res. Tank Design'!$F$9,'Res. Tank Design'!$F$9,'Res. Tank Design'!$D$9)</f>
        <v>4.9819000000000004</v>
      </c>
      <c r="AM9" s="10">
        <f>IF('Res. Tank Design'!$F$9,'Res. Tank Design'!$F$9,'Res. Tank Design'!$D$9)</f>
        <v>4.9819000000000004</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4.9819000000000004</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112.87698167273075</v>
      </c>
      <c r="D21" s="87">
        <f>RTC!BC151</f>
        <v>127.29746052931748</v>
      </c>
      <c r="E21" s="87">
        <f>RTC!BC149</f>
        <v>145.60879087111087</v>
      </c>
      <c r="F21" s="87">
        <f>RTC!BC150</f>
        <v>140.37942685099864</v>
      </c>
      <c r="G21" s="87">
        <f>RTC!BC153</f>
        <v>100.80198551629665</v>
      </c>
      <c r="H21" s="87">
        <f>RTC!BC154</f>
        <v>90.880844139491828</v>
      </c>
    </row>
    <row r="22" spans="2:39" ht="16.5" customHeight="1">
      <c r="B22" s="10" t="s">
        <v>898</v>
      </c>
      <c r="C22" s="87">
        <f>'Res. Tank Design'!$D$55</f>
        <v>148.28386321191189</v>
      </c>
      <c r="D22" s="87">
        <f>'Res. Tank Design'!$D$55</f>
        <v>148.28386321191189</v>
      </c>
      <c r="E22" s="87">
        <f>'Res. Tank Design'!$D$55</f>
        <v>148.28386321191189</v>
      </c>
      <c r="F22" s="87">
        <f>'Res. Tank Design'!$D$55</f>
        <v>148.28386321191189</v>
      </c>
      <c r="G22" s="87">
        <f>'Res. Tank Design'!$D$55</f>
        <v>148.28386321191189</v>
      </c>
      <c r="H22" s="87">
        <f>'Res. Tank Design'!$D$55</f>
        <v>148.28386321191189</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54.270538355817102</v>
      </c>
      <c r="D24" s="10">
        <f t="shared" si="6"/>
        <v>72.184015351366298</v>
      </c>
      <c r="E24" s="10">
        <f t="shared" si="6"/>
        <v>84.141823123595373</v>
      </c>
      <c r="F24" s="10">
        <f t="shared" si="6"/>
        <v>81.429844333711799</v>
      </c>
      <c r="G24" s="10">
        <f t="shared" si="6"/>
        <v>30.385783236226157</v>
      </c>
      <c r="H24" s="10">
        <f t="shared" si="6"/>
        <v>9.0306627139751665</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23.674994237357929</v>
      </c>
      <c r="D25" s="10">
        <f>IF('Design Spec'!$D$107=1,D24*SQRT(MIN(D21,D22)/D22/4*(1-SIN(2*PI()*D22/MAX(D21,D22))/(2*PI()*D22/MAX(D21,D22)))),D24*SQRT(MIN(D21,D22)/D22/2*(1-SIN(2*PI()*D22/MAX(D21,D22))/(2*PI()*D22/MAX(D21,D22)))))</f>
        <v>33.44059260202085</v>
      </c>
      <c r="E25" s="10">
        <f>IF('Design Spec'!$D$107=1,E24*SQRT(MIN(E21,E22)/E22/4*(1-SIN(2*PI()*E22/MAX(E21,E22))/(2*PI()*E22/MAX(E21,E22)))),E24*SQRT(MIN(E21,E22)/E22/2*(1-SIN(2*PI()*E22/MAX(E21,E22))/(2*PI()*E22/MAX(E21,E22)))))</f>
        <v>41.68970037077095</v>
      </c>
      <c r="F25" s="193">
        <f>IF('Design Spec'!$D$107=1,F24*SQRT(MIN(F21,F22)/F22/4*(1-SIN(2*PI()*F22/MAX(F21,F22))/(2*PI()*F22/MAX(F21,F22)))),F24*SQRT(MIN(F21,F22)/F22/2*(1-SIN(2*PI()*F22/MAX(F21,F22))/(2*PI()*F22/MAX(F21,F22)))))</f>
        <v>39.614884615602385</v>
      </c>
      <c r="G25" s="193">
        <f>IF('Design Spec'!$D$107=1,G24*SQRT(MIN(G21,G22)/G22/4*(1-SIN(2*PI()*G22/MAX(G21,G22))/(2*PI()*G22/MAX(G21,G22)))),G24*SQRT(MIN(G21,G22)/G22/2*(1-SIN(2*PI()*G22/MAX(G21,G22))/(2*PI()*G22/MAX(G21,G22)))))</f>
        <v>12.526450799502099</v>
      </c>
      <c r="H25" s="193">
        <f>IF('Design Spec'!$D$107=1,H24*SQRT(MIN(H21,H22)/H22/4*(1-SIN(2*PI()*H22/MAX(H21,H22))/(2*PI()*H22/MAX(H21,H22)))),H24*SQRT(MIN(H21,H22)/H22/2*(1-SIN(2*PI()*H22/MAX(H21,H22))/(2*PI()*H22/MAX(H21,H22)))))</f>
        <v>3.5349140336619889</v>
      </c>
      <c r="J25" s="193">
        <f>SQRT((4*H25^2+2*G25^2+4*C25^2+2*D25^2+4*F25^2+1*E25^2)/18)</f>
        <v>26.72676741199232</v>
      </c>
      <c r="K25" s="87"/>
      <c r="L25" s="87"/>
      <c r="M25" s="87"/>
      <c r="N25" s="87"/>
      <c r="O25" s="87"/>
      <c r="P25" s="87"/>
      <c r="Q25" s="87"/>
    </row>
    <row r="26" spans="2:39" ht="16.5" customHeight="1">
      <c r="B26" s="10" t="s">
        <v>901</v>
      </c>
      <c r="C26" s="193">
        <f>IF('Design Spec'!$D$107=1,C25,C25/SQRT(2))</f>
        <v>23.674994237357929</v>
      </c>
      <c r="D26" s="10">
        <f>IF('Design Spec'!$D$107=1,D25,D25/SQRT(2))</f>
        <v>33.44059260202085</v>
      </c>
      <c r="E26" s="10">
        <f>IF('Design Spec'!$D$107=1,E25,E25/SQRT(2))</f>
        <v>41.68970037077095</v>
      </c>
      <c r="F26" s="193">
        <f>IF('Design Spec'!$D$107=1,F25,F25/SQRT(2))</f>
        <v>39.614884615602385</v>
      </c>
      <c r="G26" s="193">
        <f>IF('Design Spec'!$D$107=1,G25,G25/SQRT(2))</f>
        <v>12.526450799502099</v>
      </c>
      <c r="H26" s="193">
        <f>IF('Design Spec'!$D$107=1,H25,H25/SQRT(2))</f>
        <v>3.5349140336619889</v>
      </c>
      <c r="J26" s="193">
        <f>SQRT((4*H26^2+2*G26^2+4*C26^2+2*D26^2+4*F26^2+1*E26^2)/18)</f>
        <v>26.72676741199232</v>
      </c>
    </row>
    <row r="27" spans="2:39" ht="16.5" customHeight="1">
      <c r="B27" s="10" t="s">
        <v>902</v>
      </c>
      <c r="C27" s="10">
        <f t="shared" ref="C27:H27" si="7">C24/$C$18</f>
        <v>10.893542294268672</v>
      </c>
      <c r="D27" s="10">
        <f t="shared" si="7"/>
        <v>14.489254170369998</v>
      </c>
      <c r="E27" s="10">
        <f t="shared" si="7"/>
        <v>16.88950463148505</v>
      </c>
      <c r="F27" s="10">
        <f t="shared" si="7"/>
        <v>16.345138267269874</v>
      </c>
      <c r="G27" s="10">
        <f t="shared" si="7"/>
        <v>6.0992358811349394</v>
      </c>
      <c r="H27" s="10">
        <f t="shared" si="7"/>
        <v>1.812694496873716</v>
      </c>
    </row>
    <row r="28" spans="2:39" ht="16.5" customHeight="1">
      <c r="B28" s="10" t="s">
        <v>903</v>
      </c>
      <c r="C28" s="10">
        <f>0.5*(0.5*$C$17*$C$18)/(IF('Res. Tank Design'!$F$45,'Res. Tank Design'!$F$45,'Res. Tank Design'!$D$45)*IF(C21&lt;C22,C22,C21))*1000</f>
        <v>14.78743289094583</v>
      </c>
      <c r="D28" s="10">
        <f>0.5*(0.5*$C$17*$C$18)/(IF('Res. Tank Design'!$F$45,'Res. Tank Design'!$F$45,'Res. Tank Design'!$D$45)*IF(D21&lt;D22,D22,D21))*1000</f>
        <v>14.78743289094583</v>
      </c>
      <c r="E28" s="10">
        <f>0.5*(0.5*$C$17*$C$18)/(IF('Res. Tank Design'!$F$45,'Res. Tank Design'!$F$45,'Res. Tank Design'!$D$45)*IF(E21&lt;E22,E22,E21))*1000</f>
        <v>14.78743289094583</v>
      </c>
      <c r="F28" s="10">
        <f>0.5*(0.5*$C$17*$C$18)/(IF('Res. Tank Design'!$F$45,'Res. Tank Design'!$F$45,'Res. Tank Design'!$D$45)*IF(F21&lt;F22,F22,F21))*1000</f>
        <v>14.78743289094583</v>
      </c>
      <c r="G28" s="10">
        <f>0.5*(0.5*$C$17*$C$18)/(IF('Res. Tank Design'!$F$45,'Res. Tank Design'!$F$45,'Res. Tank Design'!$D$45)*IF(G21&lt;G22,G22,G21))*1000</f>
        <v>14.78743289094583</v>
      </c>
      <c r="H28" s="10">
        <f>0.5*(0.5*$C$17*$C$18)/(IF('Res. Tank Design'!$F$45,'Res. Tank Design'!$F$45,'Res. Tank Design'!$D$45)*IF(H21&lt;H22,H22,H21))*1000</f>
        <v>14.78743289094583</v>
      </c>
      <c r="I28" s="10">
        <f>0.5*(0.5*$C$17*$C$18)/(IF('Res. Tank Design'!$F$45,'Res. Tank Design'!$F$45,'Res. Tank Design'!$D$45)*C22)*1000</f>
        <v>14.78743289094583</v>
      </c>
    </row>
    <row r="29" spans="2:39" ht="16.5" customHeight="1">
      <c r="B29" s="10" t="s">
        <v>904</v>
      </c>
      <c r="C29" s="193">
        <f t="shared" ref="C29:H29" si="8">SQRT(C27^2/2+C28^2/3+(C28*C21*(1/C21-1/C22))^2)</f>
        <v>12.028771486027342</v>
      </c>
      <c r="D29" s="10">
        <f t="shared" si="8"/>
        <v>13.499578900961202</v>
      </c>
      <c r="E29" s="10">
        <f t="shared" si="8"/>
        <v>14.682923388846547</v>
      </c>
      <c r="F29" s="193">
        <f t="shared" si="8"/>
        <v>14.390709423528097</v>
      </c>
      <c r="G29" s="193">
        <f t="shared" si="8"/>
        <v>10.672893534046711</v>
      </c>
      <c r="H29" s="193">
        <f t="shared" si="8"/>
        <v>10.358649923773511</v>
      </c>
      <c r="I29" s="193">
        <f>SQRT(I28^2/3+(I28*(1-'Res. Tank Design'!$D$54))^2)</f>
        <v>10.75769351627236</v>
      </c>
      <c r="J29" s="193">
        <f>SQRT((1*I29^2+4*H29^2+2*G29^2+4*C29^2+2*D29^2+4*F29^2+1*E29^2)/18)</f>
        <v>12.382686704724827</v>
      </c>
    </row>
    <row r="30" spans="2:39" ht="16.5" customHeight="1">
      <c r="B30" s="10" t="s">
        <v>905</v>
      </c>
      <c r="C30" s="193">
        <f t="shared" ref="C30:H30" si="9">C29/SQRT(2)</f>
        <v>8.5056258871133164</v>
      </c>
      <c r="D30" s="10">
        <f t="shared" si="9"/>
        <v>9.5456437840325066</v>
      </c>
      <c r="E30" s="10">
        <f t="shared" si="9"/>
        <v>10.382394695895956</v>
      </c>
      <c r="F30" s="193">
        <f t="shared" si="9"/>
        <v>10.175768219461869</v>
      </c>
      <c r="G30" s="193">
        <f t="shared" si="9"/>
        <v>7.5468753928064851</v>
      </c>
      <c r="H30" s="193">
        <f t="shared" si="9"/>
        <v>7.3246716050377625</v>
      </c>
      <c r="J30" s="193">
        <f>J29/SQRT(2)</f>
        <v>8.7558817382194292</v>
      </c>
    </row>
    <row r="31" spans="2:39" ht="16.5" customHeight="1">
      <c r="B31" s="10" t="s">
        <v>906</v>
      </c>
      <c r="C31" s="193">
        <f t="shared" ref="C31:H31" si="10">SQRT(0.5*MIN(C21,C22)/C22*(1-SIN(2*PI()*C22/MAX(C21,C22))/(2*PI()*C22/MAX(C21,C22)))*(C24^2)-C23^2+C15^2/2)</f>
        <v>20.720055605086163</v>
      </c>
      <c r="D31" s="10">
        <f t="shared" si="10"/>
        <v>26.084265070414105</v>
      </c>
      <c r="E31" s="10">
        <f t="shared" si="10"/>
        <v>26.675338561180187</v>
      </c>
      <c r="F31" s="193">
        <f t="shared" si="10"/>
        <v>27.226622468900935</v>
      </c>
      <c r="G31" s="193">
        <f t="shared" si="10"/>
        <v>13.204507946558241</v>
      </c>
      <c r="H31" s="193">
        <f t="shared" si="10"/>
        <v>9.4504118197196032</v>
      </c>
      <c r="J31" s="193">
        <f>SQRT((4*H32+2*G32+4*C32+2*D32+4*F32+1*E32)/18-('Design Spec'!$D$98/'Design Spec'!$D$95)^2)</f>
        <v>27.146826565723469</v>
      </c>
    </row>
    <row r="32" spans="2:39">
      <c r="B32" s="10" t="s">
        <v>1184</v>
      </c>
      <c r="C32" s="193">
        <f t="shared" ref="C32:H32" si="11">0.5*MIN(C21,C22)/C22*(1-SIN(2*PI()*C22/MAX(C21,C22))/(2*PI()*C22/MAX(C21,C22)))*(C24^2)</f>
        <v>1121.0107042778623</v>
      </c>
      <c r="D32" s="193">
        <f t="shared" si="11"/>
        <v>2236.5464671486634</v>
      </c>
      <c r="E32" s="193">
        <f t="shared" si="11"/>
        <v>3476.0622340093187</v>
      </c>
      <c r="F32" s="193">
        <f t="shared" si="11"/>
        <v>3138.6781662149815</v>
      </c>
      <c r="G32" s="193">
        <f t="shared" si="11"/>
        <v>313.82393926469359</v>
      </c>
      <c r="H32" s="193">
        <f t="shared" si="11"/>
        <v>24.991234450760942</v>
      </c>
    </row>
    <row r="33" spans="2:5" ht="16.5" customHeight="1">
      <c r="B33" s="10" t="s">
        <v>907</v>
      </c>
      <c r="C33" s="10" t="s">
        <v>889</v>
      </c>
      <c r="D33" s="10" t="s">
        <v>890</v>
      </c>
      <c r="E33" s="10" t="s">
        <v>891</v>
      </c>
    </row>
    <row r="34" spans="2:5" ht="16.5" customHeight="1">
      <c r="B34" s="10" t="s">
        <v>897</v>
      </c>
      <c r="C34" s="87">
        <f>RTC!BC200</f>
        <v>248.03217918722481</v>
      </c>
      <c r="D34" s="10">
        <f>RTC!BC199</f>
        <v>342.64689332922563</v>
      </c>
      <c r="E34" s="10">
        <f>RTC!BC197</f>
        <v>361.85020285263948</v>
      </c>
    </row>
    <row r="35" spans="2:5" ht="16.5" customHeight="1">
      <c r="B35" s="10" t="s">
        <v>898</v>
      </c>
      <c r="C35" s="87">
        <f>'Res. Tank Design'!$D$55</f>
        <v>148.28386321191189</v>
      </c>
      <c r="D35" s="87">
        <f>'Res. Tank Design'!$D$55</f>
        <v>148.28386321191189</v>
      </c>
      <c r="E35" s="87">
        <f>'Res. Tank Design'!$D$55</f>
        <v>148.28386321191189</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37.922222454863281</v>
      </c>
      <c r="D37" s="10">
        <f>PI()*(D35/D34)*D36*(1-COS(PI()*D35/IF(D34&lt;D35,D35,D34)))^(-1)</f>
        <v>67.863660394109274</v>
      </c>
      <c r="E37" s="10">
        <f>PI()*(E35/E34)*E36*(1-COS(PI()*E35/IF(E34&lt;E35,E35,E34)))^(-1)</f>
        <v>94.001639903871606</v>
      </c>
    </row>
    <row r="38" spans="2:5" ht="16.5" customHeight="1">
      <c r="B38" s="10" t="s">
        <v>900</v>
      </c>
      <c r="C38" s="193">
        <f>IF('Design Spec'!$D$107=1,C37/2,C37/SQRT(2))</f>
        <v>18.96111122743164</v>
      </c>
      <c r="D38" s="10">
        <f>IF('Design Spec'!$D$107=1,D37/2,D37/SQRT(2))</f>
        <v>33.931830197054637</v>
      </c>
      <c r="E38" s="10">
        <f>IF('Design Spec'!$D$107=1,E37/2,E37/SQRT(2))</f>
        <v>47.000819951935803</v>
      </c>
    </row>
    <row r="39" spans="2:5" ht="16.5" customHeight="1">
      <c r="B39" s="10" t="s">
        <v>901</v>
      </c>
      <c r="C39" s="193">
        <f>IF('Design Spec'!$D$107=1,C38,C38/SQRT(2))</f>
        <v>18.96111122743164</v>
      </c>
      <c r="D39" s="10">
        <f>IF('Design Spec'!$D$107=1,D38,D38/SQRT(2))</f>
        <v>33.931830197054637</v>
      </c>
      <c r="E39" s="10">
        <f>IF('Design Spec'!$D$107=1,E38,E38/SQRT(2))</f>
        <v>47.000819951935803</v>
      </c>
    </row>
    <row r="40" spans="2:5" ht="16.5" customHeight="1">
      <c r="B40" s="10" t="s">
        <v>902</v>
      </c>
      <c r="C40" s="10">
        <f>C37/$C$18</f>
        <v>7.6119999307218684</v>
      </c>
      <c r="D40" s="10">
        <f>D37/$C$18</f>
        <v>13.62204387765898</v>
      </c>
      <c r="E40" s="10">
        <f>E37/$C$18</f>
        <v>18.868632430171541</v>
      </c>
    </row>
    <row r="41" spans="2:5" ht="16.5" customHeight="1">
      <c r="B41" s="10" t="s">
        <v>903</v>
      </c>
      <c r="C41" s="10">
        <f>0.5*(0.5*$C$17*$C$18)/(IF('Res. Tank Design'!$F$45,'Res. Tank Design'!$F$45,'Res. Tank Design'!$D$45)*IF(C34&lt;C35,C35,C34))*1000</f>
        <v>8.8405370756395705</v>
      </c>
      <c r="D41" s="10">
        <f>0.5*(0.5*$C$17*$C$18)/(IF('Res. Tank Design'!$F$45,'Res. Tank Design'!$F$45,'Res. Tank Design'!$D$45)*IF(D34&lt;D35,D35,D34))*1000</f>
        <v>6.3994091840473475</v>
      </c>
      <c r="E41" s="10">
        <f>0.5*(0.5*$C$17*$C$18)/(IF('Res. Tank Design'!$F$45,'Res. Tank Design'!$F$45,'Res. Tank Design'!$D$45)*IF(E34&lt;E35,E35,E34))*1000</f>
        <v>6.059793966591509</v>
      </c>
    </row>
    <row r="42" spans="2:5" ht="16.5" customHeight="1">
      <c r="B42" s="10" t="s">
        <v>904</v>
      </c>
      <c r="C42" s="193">
        <f>SQRT(C40^2/2+C41^2/3+(C41*C34*(1/C34-1/C35))^2)</f>
        <v>9.5072887778806106</v>
      </c>
      <c r="D42" s="10">
        <f>SQRT(D40^2/2+D41^2/3+(D41*D34*(1/D34-1/D35))^2)</f>
        <v>13.296232325169438</v>
      </c>
      <c r="E42" s="10">
        <f>SQRT(E40^2/2+E41^2/3+(E41*E34*(1/E34-1/E35))^2)</f>
        <v>16.32252105912395</v>
      </c>
    </row>
    <row r="43" spans="2:5" ht="16.5" customHeight="1">
      <c r="B43" s="10" t="s">
        <v>905</v>
      </c>
      <c r="C43" s="193">
        <f>C42/SQRT(2)</f>
        <v>6.7226683655381434</v>
      </c>
      <c r="D43" s="10">
        <f>D42/SQRT(2)</f>
        <v>9.4018560413590855</v>
      </c>
      <c r="E43" s="10">
        <f>E42/SQRT(2)</f>
        <v>11.541765326966772</v>
      </c>
    </row>
    <row r="44" spans="2:5" ht="16.5" customHeight="1">
      <c r="B44" s="10" t="s">
        <v>906</v>
      </c>
      <c r="C44" s="193">
        <f>SQRT(0.5*IF(C34&gt;C35,C35,C34)/C35*(C37^2)-C36^2)</f>
        <v>5.2304376449842769</v>
      </c>
    </row>
    <row r="46" spans="2:5" ht="16.5" customHeight="1">
      <c r="B46" s="10" t="s">
        <v>908</v>
      </c>
      <c r="C46" s="10" t="s">
        <v>889</v>
      </c>
      <c r="D46" s="10" t="s">
        <v>890</v>
      </c>
      <c r="E46" s="10" t="s">
        <v>891</v>
      </c>
    </row>
    <row r="47" spans="2:5" ht="16.5" customHeight="1">
      <c r="B47" s="10" t="s">
        <v>897</v>
      </c>
      <c r="C47" s="87">
        <f>RTC!BC176</f>
        <v>134.27522417747667</v>
      </c>
      <c r="D47" s="10">
        <f>RTC!BC175</f>
        <v>168.04697537967758</v>
      </c>
      <c r="E47" s="10">
        <f>RTC!BC173</f>
        <v>203.18577312447766</v>
      </c>
    </row>
    <row r="48" spans="2:5" ht="16.5" customHeight="1">
      <c r="B48" s="10" t="s">
        <v>898</v>
      </c>
      <c r="C48" s="87">
        <f>'Res. Tank Design'!$D$55</f>
        <v>148.28386321191189</v>
      </c>
      <c r="D48" s="87">
        <f>'Res. Tank Design'!$D$55</f>
        <v>148.28386321191189</v>
      </c>
      <c r="E48" s="87">
        <f>'Res. Tank Design'!$D$55</f>
        <v>148.28386321191189</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45.621927655558927</v>
      </c>
      <c r="D50" s="10">
        <f>PI()*(D48/D47)*D49*(1-COS(PI()*D48/IF(D47&lt;D48,D48,D47)))^(-1)</f>
        <v>56.589519470213006</v>
      </c>
      <c r="E50" s="10">
        <f>PI()*(E48/E47)*E49*(1-COS(PI()*E48/IF(E47&lt;E48,E48,E47)))^(-1)</f>
        <v>72.61254961847591</v>
      </c>
    </row>
    <row r="51" spans="2:5" ht="16.5" customHeight="1">
      <c r="B51" s="10" t="s">
        <v>900</v>
      </c>
      <c r="C51" s="193">
        <f>IF('Design Spec'!$D$107=1,C50/2,C50/SQRT(2))</f>
        <v>22.810963827779464</v>
      </c>
      <c r="D51" s="10">
        <f>IF('Design Spec'!$D$107=1,D50/2,D50/SQRT(2))</f>
        <v>28.294759735106503</v>
      </c>
      <c r="E51" s="10">
        <f>IF('Design Spec'!$D$107=1,E50/2,E50/SQRT(2))</f>
        <v>36.306274809237955</v>
      </c>
    </row>
    <row r="52" spans="2:5" ht="16.5" customHeight="1">
      <c r="B52" s="10" t="s">
        <v>901</v>
      </c>
      <c r="C52" s="193">
        <f>IF('Design Spec'!$D$107=1,C51,C51/SQRT(2))</f>
        <v>22.810963827779464</v>
      </c>
      <c r="D52" s="10">
        <f>IF('Design Spec'!$D$107=1,D51,D51/SQRT(2))</f>
        <v>28.294759735106503</v>
      </c>
      <c r="E52" s="10">
        <f>IF('Design Spec'!$D$107=1,E51,E51/SQRT(2))</f>
        <v>36.306274809237955</v>
      </c>
    </row>
    <row r="53" spans="2:5" ht="16.5" customHeight="1">
      <c r="B53" s="10" t="s">
        <v>902</v>
      </c>
      <c r="C53" s="10">
        <f>C50/$C$18</f>
        <v>9.1575358107466869</v>
      </c>
      <c r="D53" s="10">
        <f>D50/$C$18</f>
        <v>11.359023559327365</v>
      </c>
      <c r="E53" s="10">
        <f>E50/$C$18</f>
        <v>14.575272409818725</v>
      </c>
    </row>
    <row r="54" spans="2:5" ht="16.5" customHeight="1">
      <c r="B54" s="10" t="s">
        <v>903</v>
      </c>
      <c r="C54" s="10">
        <f>0.5*(0.5*$C$17*$C$18)/(IF('Res. Tank Design'!$F$45,'Res. Tank Design'!$F$45,'Res. Tank Design'!$D$45)*IF(C47&lt;C48,C48,C47))*1000</f>
        <v>14.78743289094583</v>
      </c>
      <c r="D54" s="10">
        <f>0.5*(0.5*$C$17*$C$18)/(IF('Res. Tank Design'!$F$45,'Res. Tank Design'!$F$45,'Res. Tank Design'!$D$45)*IF(D47&lt;D48,D48,D47))*1000</f>
        <v>13.048361454302693</v>
      </c>
      <c r="E54" s="10">
        <f>0.5*(0.5*$C$17*$C$18)/(IF('Res. Tank Design'!$F$45,'Res. Tank Design'!$F$45,'Res. Tank Design'!$D$45)*IF(E47&lt;E48,E48,E47))*1000</f>
        <v>10.791787448194031</v>
      </c>
    </row>
    <row r="55" spans="2:5" ht="16.5" customHeight="1">
      <c r="B55" s="10" t="s">
        <v>904</v>
      </c>
      <c r="C55" s="193">
        <f>SQRT(C53^2/2+C54^2/3+(C54*C47*(1/C47-1/C48))^2)</f>
        <v>10.80607312964967</v>
      </c>
      <c r="D55" s="10">
        <f>SQRT(D53^2/2+D54^2/3+(D54*D47*(1/D47-1/D48))^2)</f>
        <v>11.148601845962682</v>
      </c>
      <c r="E55" s="10">
        <f>SQRT(E53^2/2+E54^2/3+(E54*E47*(1/E47-1/E48))^2)</f>
        <v>12.688788654690175</v>
      </c>
    </row>
    <row r="56" spans="2:5" ht="16.5" customHeight="1">
      <c r="B56" s="10" t="s">
        <v>905</v>
      </c>
      <c r="C56" s="193">
        <f>C55/SQRT(2)</f>
        <v>7.64104758797302</v>
      </c>
      <c r="D56" s="10">
        <f>D55/SQRT(2)</f>
        <v>7.8832519660290741</v>
      </c>
      <c r="E56" s="10">
        <f>E55/SQRT(2)</f>
        <v>8.9723285027743511</v>
      </c>
    </row>
    <row r="57" spans="2:5" ht="16.5" customHeight="1">
      <c r="B57" s="10" t="s">
        <v>906</v>
      </c>
      <c r="C57" s="193">
        <f>SQRT(0.5*IF(C47&gt;C48,C48,C47)/C48*(C50^2)-C49^2)</f>
        <v>15.832727068698764</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2026-09-07T04:01:52Z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