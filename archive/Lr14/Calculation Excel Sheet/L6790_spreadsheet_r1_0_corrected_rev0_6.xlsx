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<sst xmlns="http://schemas.openxmlformats.org/spreadsheetml/2006/main" count="2127" uniqueCount="1232">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</sst>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row r="122">
      <c r="F122" s="8" t="inlineStr">
        <is>
          <t xml:space="preserve">Lr14 copy, 2026-09-27 (user): the transformer is TDK ETD 54/28/19 on its catalogue former B66396W with a 2.0 mm partition and nothing left empty; its leakage, 23.4 uH, is the tank L.r. lambda stays 0.55 (L.m 42.55 uH), C.r 200 nF keeps Q near 0.8; f.r 73.6 kHz, f.o 43.8 kHz, so R.T moves to 23.2 kOhm (f.Min 44.8 kHz).</t>
        </is>
      </c>
    </row>
    <row r="123">
      <c r="B123" s="8" t="inlineStr">
        <is>
          <t xml:space="preserve">Res. Tank Design</t>
        </is>
      </c>
      <c r="C123" s="8" t="inlineStr">
        <is>
          <t xml:space="preserve">F43</t>
        </is>
      </c>
      <c r="D123" s="8" t="inlineStr">
        <is>
          <t xml:space="preserve">100</t>
        </is>
      </c>
      <c r="E123" s="8" t="inlineStr">
        <is>
          <t xml:space="preserve">200</t>
        </is>
      </c>
      <c r="F123" s="8" t="inlineStr">
        <is>
          <t xml:space="preserve">C.r resonant capacitor, nF</t>
        </is>
      </c>
    </row>
    <row r="124">
      <c r="B124" s="8" t="inlineStr">
        <is>
          <t xml:space="preserve">Res. Tank Design</t>
        </is>
      </c>
      <c r="C124" s="8" t="inlineStr">
        <is>
          <t xml:space="preserve">F44</t>
        </is>
      </c>
      <c r="D124" s="8" t="inlineStr">
        <is>
          <t xml:space="preserve">14</t>
        </is>
      </c>
      <c r="E124" s="8" t="inlineStr">
        <is>
          <t xml:space="preserve">23.4</t>
        </is>
      </c>
      <c r="F124" s="8" t="inlineStr">
        <is>
          <t xml:space="preserve">L.r leakage (resonant) inductance, uH</t>
        </is>
      </c>
    </row>
    <row r="125">
      <c r="B125" s="8" t="inlineStr">
        <is>
          <t xml:space="preserve">Res. Tank Design</t>
        </is>
      </c>
      <c r="C125" s="8" t="inlineStr">
        <is>
          <t xml:space="preserve">F45</t>
        </is>
      </c>
      <c r="D125" s="8" t="inlineStr">
        <is>
          <t xml:space="preserve">25.46</t>
        </is>
      </c>
      <c r="E125" s="8" t="inlineStr">
        <is>
          <t xml:space="preserve">42.55</t>
        </is>
      </c>
      <c r="F125" s="8" t="inlineStr">
        <is>
          <t xml:space="preserve">L.m magnetizing inductance, uH</t>
        </is>
      </c>
    </row>
    <row r="126">
      <c r="B126" s="8" t="inlineStr">
        <is>
          <t xml:space="preserve">Device Setting</t>
        </is>
      </c>
      <c r="C126" s="8" t="inlineStr">
        <is>
          <t xml:space="preserve">F24</t>
        </is>
      </c>
      <c r="D126" s="8" t="inlineStr">
        <is>
          <t xml:space="preserve">11</t>
        </is>
      </c>
      <c r="E126" s="8" t="inlineStr">
        <is>
          <t xml:space="preserve">23.2</t>
        </is>
      </c>
      <c r="F126" s="8" t="inlineStr">
        <is>
          <t xml:space="preserve">R.T timing resistor, kOhm</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6.0240999999999998</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200</v>
      </c>
    </row>
    <row r="44" spans="2:6" ht="14.25" customHeight="1">
      <c r="B44" s="1" t="s">
        <v>318</v>
      </c>
      <c r="C44" s="1" t="s">
        <v>319</v>
      </c>
      <c r="D44" s="3">
        <f>1/(IF(F43,F43,D43)*(10^-12)*(2*PI()*'Design Spec'!D102*1000)^2)*1000</f>
        <v>11.257909293593086</v>
      </c>
      <c r="E44" s="1" t="s">
        <v>320</v>
      </c>
      <c r="F44" s="2">
        <v>23.4</v>
      </c>
    </row>
    <row r="45" spans="2:6" ht="14.25" customHeight="1">
      <c r="B45" s="1" t="s">
        <v>321</v>
      </c>
      <c r="C45" s="1" t="s">
        <v>322</v>
      </c>
      <c r="D45" s="3">
        <f>IF(F44,F44,D44)/D16</f>
        <v>8.8661373823173655</v>
      </c>
      <c r="E45" s="1" t="s">
        <v>320</v>
      </c>
      <c r="F45" s="2">
        <v>42.55</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23.2</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