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0" documentId="11_2EEF06C448CA4488C4F6BA1FA7F4AA936F848AA4" xr6:coauthVersionLast="47" xr6:coauthVersionMax="47" xr10:uidLastSave="{AEF5909E-33B3-48DC-83E3-A04B4C8AE1ED}"/>
  <bookViews>
    <workbookView xWindow="-46875" yWindow="-21585" windowWidth="38640" windowHeight="21120"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<sst xmlns="http://schemas.openxmlformats.org/spreadsheetml/2006/main" count="2127" uniqueCount="1232">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</sst>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c:v>
                </c:pt>
                <c:pt idx="1">
                  <c:v>0.78260869565217461</c:v>
                </c:pt>
                <c:pt idx="2">
                  <c:v>0.85507246376811641</c:v>
                </c:pt>
                <c:pt idx="3">
                  <c:v>0.78260869565217461</c:v>
                </c:pt>
                <c:pt idx="4">
                  <c:v>0</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104</xdr:row>
      <xdr:rowOff>171360</xdr:rowOff>
    </xdr:from>
    <xdr:to>
      <xdr:col>1</xdr:col>
      <xdr:colOff>2876760</xdr:colOff>
      <xdr:row>118</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104</xdr:row>
      <xdr:rowOff>56160</xdr:rowOff>
    </xdr:from>
    <xdr:to>
      <xdr:col>4</xdr:col>
      <xdr:colOff>303840</xdr:colOff>
      <xdr:row>118</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row r="96" ht="48.00" customHeight="1">
      <c r="F96" s="8" t="inlineStr">
        <is>
          <t xml:space="preserve">rev 0.7 - changes that were made earlier but never written into this log (found 2026-09-23 by comparing every design-sheet formula and constant with the ST original). Records only: no cell was changed.</t>
        </is>
      </c>
    </row>
    <row r="97" ht="48.00" customHeight="1">
      <c r="B97" s="7" t="inlineStr">
        <is>
          <t xml:space="preserve">Design Spec</t>
        </is>
      </c>
      <c r="C97" s="7" t="inlineStr">
        <is>
          <t xml:space="preserve">G23</t>
        </is>
      </c>
      <c r="D97" s="8" t="inlineStr">
        <is>
          <t xml:space="preserve">(empty)</t>
        </is>
      </c>
      <c r="E97" s="8" t="inlineStr">
        <is>
          <t xml:space="preserve">='CompensationNet&amp;Check'!D38</t>
        </is>
      </c>
      <c r="F97" s="8" t="inlineStr">
        <is>
          <t xml:space="preserve">Added. Shows the output voltage the fitted divider actually regulates to (CompensationNet&amp;Check D38) next to the target in D23, so the E-series rounding of R.I / R.O is visible on the specification page.</t>
        </is>
      </c>
    </row>
    <row r="98" ht="33.00" customHeight="1">
      <c r="B98" s="7" t="inlineStr">
        <is>
          <t xml:space="preserve">Design Spec</t>
        </is>
      </c>
      <c r="C98" s="7" t="inlineStr">
        <is>
          <t xml:space="preserve">D24</t>
        </is>
      </c>
      <c r="D98" s="8" t="inlineStr">
        <is>
          <t xml:space="preserve">16</t>
        </is>
      </c>
      <c r="E98" s="8" t="inlineStr">
        <is>
          <t xml:space="preserve">19</t>
        </is>
      </c>
      <c r="F98" s="8" t="inlineStr">
        <is>
          <t xml:space="preserve">Project specification: hold-up ends at or above this voltage (docs/DESIGN.md, specification table).</t>
        </is>
      </c>
    </row>
    <row r="99" ht="18.00" customHeight="1">
      <c r="B99" s="7" t="inlineStr">
        <is>
          <t xml:space="preserve">Design Spec</t>
        </is>
      </c>
      <c r="C99" s="7" t="inlineStr">
        <is>
          <t xml:space="preserve">D25</t>
        </is>
      </c>
      <c r="D99" s="8" t="inlineStr">
        <is>
          <t xml:space="preserve">10</t>
        </is>
      </c>
      <c r="E99" s="8" t="inlineStr">
        <is>
          <t xml:space="preserve">5</t>
        </is>
      </c>
      <c r="F99" s="8" t="inlineStr">
        <is>
          <t xml:space="preserve">Project specification: output ripple at most this, peak to peak.</t>
        </is>
      </c>
    </row>
    <row r="100" ht="33.00" customHeight="1">
      <c r="B100" s="7" t="inlineStr">
        <is>
          <t xml:space="preserve">Design Spec</t>
        </is>
      </c>
      <c r="C100" s="7" t="inlineStr">
        <is>
          <t xml:space="preserve">D26</t>
        </is>
      </c>
      <c r="D100" s="8" t="inlineStr">
        <is>
          <t xml:space="preserve">10</t>
        </is>
      </c>
      <c r="E100" s="8" t="inlineStr">
        <is>
          <t xml:space="preserve">12</t>
        </is>
      </c>
      <c r="F100" s="8" t="inlineStr">
        <is>
          <t xml:space="preserve">Project specification: hold-up time at 100 Vac, full load, starting at the ripple trough.</t>
        </is>
      </c>
    </row>
    <row r="101" ht="48.00" customHeight="1">
      <c r="B101" s="7" t="inlineStr">
        <is>
          <t xml:space="preserve">Res. Tank Design</t>
        </is>
      </c>
      <c r="C101" s="7" t="inlineStr">
        <is>
          <t xml:space="preserve">D65</t>
        </is>
      </c>
      <c r="D101" s="8" t="inlineStr">
        <is>
          <t xml:space="preserve">=CC!C29</t>
        </is>
      </c>
      <c r="E101" s="8" t="inlineStr">
        <is>
          <t xml:space="preserve">=CC!J29</t>
        </is>
      </c>
      <c r="F101" s="8" t="inlineStr">
        <is>
          <t xml:space="preserve">C.18: the line-cycle rms now comes from the Simpson integral in CC column J instead of the single-phase theta = pi/4 approximation in column C. The C.18 rows of this log name the CC cells, not this reader.</t>
        </is>
      </c>
    </row>
    <row r="102" ht="48.00" customHeight="1">
      <c r="B102" s="7" t="inlineStr">
        <is>
          <t xml:space="preserve">Res. Tank Design</t>
        </is>
      </c>
      <c r="C102" s="7" t="inlineStr">
        <is>
          <t xml:space="preserve">D67</t>
        </is>
      </c>
      <c r="D102" s="8" t="inlineStr">
        <is>
          <t xml:space="preserve">=CC!C25</t>
        </is>
      </c>
      <c r="E102" s="8" t="inlineStr">
        <is>
          <t xml:space="preserve">=CC!J25</t>
        </is>
      </c>
      <c r="F102" s="8" t="inlineStr">
        <is>
          <t xml:space="preserve">C.18: the line-cycle rms now comes from the Simpson integral in CC column J instead of the single-phase theta = pi/4 approximation in column C. The C.18 rows of this log name the CC cells, not this reader.</t>
        </is>
      </c>
    </row>
    <row r="103" ht="63.00" customHeight="1">
      <c r="B103" s="7" t="inlineStr">
        <is>
          <t xml:space="preserve">Res. Tank Design</t>
        </is>
      </c>
      <c r="C103" s="7" t="inlineStr">
        <is>
          <t xml:space="preserve">F45</t>
        </is>
      </c>
      <c r="D103" s="8" t="inlineStr">
        <is>
          <t xml:space="preserve">24</t>
        </is>
      </c>
      <c r="E103" s="8" t="inlineStr">
        <is>
          <t xml:space="preserve">20</t>
        </is>
      </c>
      <c r="F103" s="8" t="inlineStr">
        <is>
          <t xml:space="preserve">Selected magnetizing inductance of this design point, chosen together with the turns ratio so that n.T = n*sqrt(1+lambda.act) is a ratio that can be wound. The calculated D45 is the no-load condition at the high corner, which the design knowingly does not meet (burst mode covers it), so it is not a value to round to.</t>
        </is>
      </c>
    </row>
    <row r="104" ht="48.00" customHeight="1">
      <c r="B104" s="7" t="inlineStr">
        <is>
          <t xml:space="preserve">Power Components</t>
        </is>
      </c>
      <c r="C104" s="7" t="inlineStr">
        <is>
          <t xml:space="preserve">D28</t>
        </is>
      </c>
      <c r="D104" s="8" t="inlineStr">
        <is>
          <t xml:space="preserve">=CC!C31</t>
        </is>
      </c>
      <c r="E104" s="8" t="inlineStr">
        <is>
          <t xml:space="preserve">=CC!J31</t>
        </is>
      </c>
      <c r="F104" s="8" t="inlineStr">
        <is>
          <t xml:space="preserve">C.18: the line-cycle rms now comes from the Simpson integral in CC column J instead of the single-phase theta = pi/4 approximation in column C. The C.18 rows of this log name the CC cells, not this reader.</t>
        </is>
      </c>
    </row>
    <row r="105" ht="63.00" customHeight="1">
      <c r="B105" s="7" t="inlineStr">
        <is>
          <t xml:space="preserve">Power Components</t>
        </is>
      </c>
      <c r="C105" s="7" t="inlineStr">
        <is>
          <t xml:space="preserve">D71</t>
        </is>
      </c>
      <c r="D105" s="8" t="inlineStr">
        <is>
          <t xml:space="preserve">86</t>
        </is>
      </c>
      <c r="E105" s="8" t="inlineStr">
        <is>
          <t xml:space="preserve">897</t>
        </is>
      </c>
      <c r="F105" s="8" t="inlineStr">
        <is>
          <t xml:space="preserve">Entered with the STO60N045DM9 selection. WHICH datasheet capacitance this is (small-signal Coss, Co(er) or Co(tr)) is not recorded, and ZVS needs Co(tr). D77 Ctot = 2*D71 + D72 is read by no formula: the ZVS check uses Design Spec D46 (the midpoint capacitance input). Open item - confirm against the datasheet.</t>
        </is>
      </c>
    </row>
    <row r="106" ht="48.00" customHeight="1">
      <c r="B106" s="7" t="inlineStr">
        <is>
          <t xml:space="preserve">Device Setting</t>
        </is>
      </c>
      <c r="C106" s="7" t="inlineStr">
        <is>
          <t xml:space="preserve">F21</t>
        </is>
      </c>
      <c r="D106" s="8" t="inlineStr">
        <is>
          <t xml:space="preserve">(empty)</t>
        </is>
      </c>
      <c r="E106" s="8" t="inlineStr">
        <is>
          <t xml:space="preserve">470</t>
        </is>
      </c>
      <c r="F106" s="8" t="inlineStr">
        <is>
          <t xml:space="preserve">Selected timing capacitor, shown in the selection column like the other blocks. No formula reads F21 - they read D21, which holds the same value. Keep the two equal.</t>
        </is>
      </c>
    </row>
    <row r="107" ht="33.00" customHeight="1">
      <c r="B107" s="7" t="inlineStr">
        <is>
          <t xml:space="preserve">Device Setting</t>
        </is>
      </c>
      <c r="C107" s="7" t="inlineStr">
        <is>
          <t xml:space="preserve">D22</t>
        </is>
      </c>
      <c r="D107" s="8" t="inlineStr">
        <is>
          <t xml:space="preserve">(empty)</t>
        </is>
      </c>
      <c r="E107" s="8" t="inlineStr">
        <is>
          <t xml:space="preserve">=MIN(D19/D21,D21/D20)</t>
        </is>
      </c>
      <c r="F107" s="8" t="inlineStr">
        <is>
          <t xml:space="preserve">Added margin check: the timing capacitor inside its window, min(CT.max/CT, CT/CT.min) &gt; 1.</t>
        </is>
      </c>
    </row>
    <row r="108" ht="33.00" customHeight="1">
      <c r="B108" s="7" t="inlineStr">
        <is>
          <t xml:space="preserve">Device Setting</t>
        </is>
      </c>
      <c r="C108" s="7" t="inlineStr">
        <is>
          <t xml:space="preserve">D25</t>
        </is>
      </c>
      <c r="D108" s="8" t="inlineStr">
        <is>
          <t xml:space="preserve">(empty)</t>
        </is>
      </c>
      <c r="E108" s="8" t="inlineStr">
        <is>
          <t xml:space="preserve">=D24/IF(ISNUMBER(F24),F24,D24)</t>
        </is>
      </c>
      <c r="F108" s="8" t="inlineStr">
        <is>
          <t xml:space="preserve">Added margin check: RT.ceil (D24) over the selected RT &gt; 1, i.e. f.Min stays above f.o. RT.ceil is a MAXIMUM despite the ST label "Minimum Resistor value".</t>
        </is>
      </c>
    </row>
    <row r="109" ht="18.00" customHeight="1">
      <c r="B109" s="7" t="inlineStr">
        <is>
          <t xml:space="preserve">Device Setting</t>
        </is>
      </c>
      <c r="C109" s="7" t="inlineStr">
        <is>
          <t xml:space="preserve">D49</t>
        </is>
      </c>
      <c r="D109" s="8" t="inlineStr">
        <is>
          <t xml:space="preserve">(empty)</t>
        </is>
      </c>
      <c r="E109" s="8" t="inlineStr">
        <is>
          <t xml:space="preserve">=0.55/D46*1000</t>
        </is>
      </c>
      <c r="F109" s="8" t="inlineStr">
        <is>
          <t xml:space="preserve">Added: OCP1 trip current from the 0.55 V ISEN threshold over R.CS (D46, mOhm).</t>
        </is>
      </c>
    </row>
    <row r="110" ht="18.00" customHeight="1">
      <c r="B110" s="7" t="inlineStr">
        <is>
          <t xml:space="preserve">Device Setting</t>
        </is>
      </c>
      <c r="C110" s="7" t="inlineStr">
        <is>
          <t xml:space="preserve">G49</t>
        </is>
      </c>
      <c r="D110" s="8" t="inlineStr">
        <is>
          <t xml:space="preserve">(empty)</t>
        </is>
      </c>
      <c r="E110" s="8" t="inlineStr">
        <is>
          <t xml:space="preserve">=0.75/D46*1000</t>
        </is>
      </c>
      <c r="F110" s="8" t="inlineStr">
        <is>
          <t xml:space="preserve">Added: OCP2 trip current from the 0.75 V ISEN threshold over R.CS.</t>
        </is>
      </c>
    </row>
    <row r="111" ht="18.00" customHeight="1">
      <c r="B111" s="7" t="inlineStr">
        <is>
          <t xml:space="preserve">Device Setting</t>
        </is>
      </c>
      <c r="C111" s="7" t="inlineStr">
        <is>
          <t xml:space="preserve">D50</t>
        </is>
      </c>
      <c r="D111" s="8" t="inlineStr">
        <is>
          <t xml:space="preserve">(empty)</t>
        </is>
      </c>
      <c r="E111" s="8" t="inlineStr">
        <is>
          <t xml:space="preserve">=D49/D32</t>
        </is>
      </c>
      <c r="F111" s="8" t="inlineStr">
        <is>
          <t xml:space="preserve">Added margin check: OCP1 over the composite tank peak D32, target &gt; 1.2.</t>
        </is>
      </c>
    </row>
    <row r="112" ht="63.00" customHeight="1">
      <c r="B112" s="7" t="inlineStr">
        <is>
          <t xml:space="preserve">Device Setting</t>
        </is>
      </c>
      <c r="C112" s="7" t="inlineStr">
        <is>
          <t xml:space="preserve">F83</t>
        </is>
      </c>
      <c r="D112" s="8" t="inlineStr">
        <is>
          <t xml:space="preserve">3</t>
        </is>
      </c>
      <c r="E112" s="8" t="inlineStr">
        <is>
          <t xml:space="preserve">1.5</t>
        </is>
      </c>
      <c r="F112" s="8" t="inlineStr">
        <is>
          <t xml:space="preserve">Selected auxiliary-to-secondary ratio: 3 auxiliary turns on 2 secondary turns. The auxiliary winding only senses (ZCD); VCC comes from an external 12 V rail, so the D83 limit - which protects VCC at OVP2 - does not apply, and D84 below 1 is expected.</t>
        </is>
      </c>
    </row>
    <row r="113" ht="48.00" customHeight="1">
      <c r="B113" s="7" t="inlineStr">
        <is>
          <t xml:space="preserve">Device Setting</t>
        </is>
      </c>
      <c r="C113" s="7" t="inlineStr">
        <is>
          <t xml:space="preserve">D84</t>
        </is>
      </c>
      <c r="D113" s="8" t="inlineStr">
        <is>
          <t xml:space="preserve">(empty)</t>
        </is>
      </c>
      <c r="E113" s="8" t="inlineStr">
        <is>
          <t xml:space="preserve">=D83/IF(ISNUMBER(F83),F83,D83)</t>
        </is>
      </c>
      <c r="F113" s="8" t="inlineStr">
        <is>
          <t xml:space="preserve">Added margin check k.naux = D83 / selected ratio. It matters only when the auxiliary winding supplies VCC; here the winding only senses (ZCD) and VCC comes from an external rail, so a value below 1 is not a failure.</t>
        </is>
      </c>
    </row>
    <row r="114" ht="33.00" customHeight="1">
      <c r="B114" s="7" t="inlineStr">
        <is>
          <t xml:space="preserve">Device Setting</t>
        </is>
      </c>
      <c r="C114" s="7" t="inlineStr">
        <is>
          <t xml:space="preserve">F91</t>
        </is>
      </c>
      <c r="D114" s="8" t="inlineStr">
        <is>
          <t xml:space="preserve">680</t>
        </is>
      </c>
      <c r="E114" s="8" t="inlineStr">
        <is>
          <t xml:space="preserve">330</t>
        </is>
      </c>
      <c r="F114" s="8" t="inlineStr">
        <is>
          <t xml:space="preserve">Selected upper ZCD resistor: the E24 value just ABOVE the calculated one, so that OVP1 lands above the output ripple peak rather than on it.</t>
        </is>
      </c>
    </row>
    <row r="115">
      <c r="B115" s="7" t="inlineStr">
        <is>
          <t xml:space="preserve">Device Setting</t>
        </is>
      </c>
      <c r="C115" s="7" t="inlineStr">
        <is>
          <t xml:space="preserve">D71 (and cached D88, D98, D99)</t>
        </is>
      </c>
      <c r="D115" s="8" t="inlineStr">
        <is>
          <t xml:space="preserve">D71 "DS_IC start-up phase end th at ZCD pin" held 1.35 V, the ST tool value. The draft datasheet electrical characteristics table gives V_ZCD_SUend = 1.36 V (typ).</t>
        </is>
      </c>
      <c r="E115" s="8" t="inlineStr">
        <is>
          <t xml:space="preserve">D71 = 1.36 V, the datasheet value (user decision 2026-09-24). D88, D98 and D99 keep their formulas; their cached values were recomputed.</t>
        </is>
      </c>
      <c r="F115" s="8" t="inlineStr">
        <is>
          <t xml:space="preserve">The output voltage at which start-up hands over to the loop (D99) moves by +0.7 %. Nothing else reads these cells; no margin moves.</t>
        </is>
      </c>
    </row>
    <row r="116">
      <c r="B116" s="7" t="inlineStr">
        <is>
          <t xml:space="preserve">Device Setting</t>
        </is>
      </c>
      <c r="C116" s="7" t="inlineStr">
        <is>
          <t xml:space="preserve">F83, F91, B84 (and cached D84-D100, BOM E56)</t>
        </is>
      </c>
      <c r="D116" s="8" t="inlineStr">
        <is>
          <t xml:space="preserve">The auxiliary winding was a ZCD sense winding (n.aux 1.5, three turns on three cores in series, R.ZCD_H 330 k) and VCC came from an external 12 V rail. The user decided (2026-09-25) that there is no external rail: the auxiliary winding supplies VCC, 2 turns, through a Zener regulator.</t>
        </is>
      </c>
      <c r="E116" s="8" t="inlineStr">
        <is>
          <t xml:space="preserve">F83 = 1.0 (2 T on N.s = 2), F91 = 220 k (E24 above the calculated 208.2 k). B84 explains that D84 &lt; 1 is intended. Formulas unchanged; cached values recomputed.</t>
        </is>
      </c>
      <c r="F116" s="8" t="inlineStr">
        <is>
          <t xml:space="preserve">OVP1 28.93 V, OVP2 31.45 V, start-up hand-over 17.11 V. D84 = 0.84 reads as a failure in the ST tool and is not one here - the regulator between the winding and VCC is a deliberate difference from the ST tool's direct-feed assumption.</t>
        </is>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10" ht="16.5" customHeight="1">
      <c r="B27" s="1" t="s">
        <v>159</v>
      </c>
      <c r="C27" s="1" t="s">
        <v>160</v>
      </c>
      <c r="D27" s="2">
        <v>657.5</v>
      </c>
      <c r="E27" s="1" t="s">
        <v>161</v>
      </c>
    </row>
    <row r="28" spans="2:10" ht="16.5" customHeight="1">
      <c r="B28" s="1" t="s">
        <v>162</v>
      </c>
      <c r="C28" s="1" t="s">
        <v>163</v>
      </c>
      <c r="D28" s="2">
        <v>98</v>
      </c>
      <c r="E28" s="1" t="s">
        <v>155</v>
      </c>
    </row>
    <row r="29" spans="2:10" ht="16.5" customHeight="1">
      <c r="B29" s="1" t="s">
        <v>164</v>
      </c>
      <c r="C29" s="1" t="s">
        <v>165</v>
      </c>
      <c r="D29" s="2">
        <v>25</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800</v>
      </c>
      <c r="E46" s="1" t="s">
        <v>194</v>
      </c>
    </row>
    <row r="47" spans="2:5" ht="16.5" customHeight="1">
      <c r="B47" s="1" t="s">
        <v>195</v>
      </c>
      <c r="C47" s="1" t="s">
        <v>196</v>
      </c>
      <c r="D47" s="2">
        <v>220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68"/>
  <sheetViews>
    <sheetView tabSelected="1" zoomScaleNormal="100" workbookViewId="0">
      <selection activeCell="F27" sqref="F27"/>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6.0240999999999998</v>
      </c>
      <c r="G9" s="56"/>
    </row>
    <row r="10" spans="2:7" ht="14.25" customHeight="1">
      <c r="B10" s="1" t="s">
        <v>269</v>
      </c>
      <c r="C10" s="1" t="s">
        <v>270</v>
      </c>
      <c r="D10" s="3">
        <f>2*IF(F9,F9,D9)*(('Design Spec'!D95+'Design Spec'!D107*'Design Spec'!D106))/(SQRT(2)*'Design Spec'!D83)</f>
        <v>1.2294081632653062</v>
      </c>
      <c r="E10" s="1" t="str">
        <f t="shared" si="0"/>
        <v>-</v>
      </c>
      <c r="F10" s="1"/>
    </row>
    <row r="11" spans="2:7" ht="14.25" customHeight="1">
      <c r="B11" s="1" t="s">
        <v>271</v>
      </c>
      <c r="C11" s="1" t="s">
        <v>272</v>
      </c>
      <c r="D11" s="3">
        <f>2*IF(F9,F9,D9)*(('Design Spec'!D95+'Design Spec'!D107*'Design Spec'!D106))/(SQRT(2)*'Design Spec'!D79)</f>
        <v>0.80675794707308346</v>
      </c>
      <c r="E11" s="1" t="str">
        <f t="shared" si="0"/>
        <v>-</v>
      </c>
      <c r="F11" s="1"/>
    </row>
    <row r="12" spans="2:7" ht="14.25" customHeight="1">
      <c r="B12" s="1" t="s">
        <v>273</v>
      </c>
      <c r="C12" s="1" t="s">
        <v>274</v>
      </c>
      <c r="D12" s="3">
        <f>1/(2*IF(F9,F9,D9)*(('Design Spec'!D95+'Design Spec'!D107*'Design Spec'!D106))/(SQRT(2)*'Design Spec'!D81))-1</f>
        <v>0.56039906376056181</v>
      </c>
      <c r="E12" s="1" t="str">
        <f t="shared" si="0"/>
        <v>-</v>
      </c>
      <c r="F12" s="1"/>
    </row>
    <row r="13" spans="2:7" ht="14.25" customHeight="1">
      <c r="B13" s="1" t="s">
        <v>275</v>
      </c>
      <c r="C13" s="1" t="s">
        <v>276</v>
      </c>
      <c r="D13" s="3">
        <f>D12/(1-('Design Spec'!D102/'Design Spec'!D104)^2)</f>
        <v>1.0087183147690113</v>
      </c>
      <c r="E13" s="1" t="str">
        <f t="shared" si="0"/>
        <v>-</v>
      </c>
      <c r="F13" s="1"/>
    </row>
    <row r="14" spans="2:7" ht="13.5" customHeight="1">
      <c r="B14" s="1" t="s">
        <v>277</v>
      </c>
      <c r="C14" s="1" t="s">
        <v>278</v>
      </c>
      <c r="D14" s="3">
        <f>D12/(1-(((PI()^2)/8)*('Design Spec'!D102/'Design Spec'!D104)^2))</f>
        <v>1.240675564303618</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1.240675564303618</v>
      </c>
      <c r="E16" s="57" t="str">
        <f>"-"</f>
        <v>-</v>
      </c>
      <c r="F16" s="59" t="s">
        <v>283</v>
      </c>
    </row>
    <row r="17" spans="2:6" ht="14.25" customHeight="1">
      <c r="B17" s="1" t="s">
        <v>284</v>
      </c>
      <c r="C17" s="1" t="s">
        <v>285</v>
      </c>
      <c r="D17" s="3">
        <f>((IF(F9,F9,D9))^2)*(4/((PI())^2))*(((('Design Spec'!D95+'Design Spec'!D107*'Design Spec'!D106))^2)/('Preliminary Calculation'!D10))</f>
        <v>13.701083934883615</v>
      </c>
      <c r="E17" s="1" t="s">
        <v>175</v>
      </c>
      <c r="F17" s="1"/>
    </row>
    <row r="18" spans="2:6" ht="14.25" customHeight="1">
      <c r="B18" s="1" t="s">
        <v>286</v>
      </c>
      <c r="C18" s="1" t="s">
        <v>287</v>
      </c>
      <c r="D18" s="3">
        <f>IF(D10&gt;1,(D16/D10)*SQRT((1/D16)+((D10^2)/((D10^2)-1))),NA())</f>
        <v>1.9571709582942114</v>
      </c>
      <c r="E18" s="1" t="str">
        <f>"-"</f>
        <v>-</v>
      </c>
      <c r="F18" s="1"/>
    </row>
    <row r="19" spans="2:6" ht="13.5" customHeight="1">
      <c r="B19" s="1" t="s">
        <v>288</v>
      </c>
      <c r="C19" s="1" t="s">
        <v>289</v>
      </c>
      <c r="D19" s="3">
        <f>(2/PI())*(D16)*(('Design Spec'!D112*(10^-9))/(D17*'Design Spec'!D111*(10^-12)))</f>
        <v>15.853170066527099</v>
      </c>
      <c r="E19" s="1" t="str">
        <f>"-"</f>
        <v>-</v>
      </c>
      <c r="F19" s="1"/>
    </row>
    <row r="20" spans="2:6" ht="14.25" hidden="1" customHeight="1">
      <c r="B20" s="57" t="s">
        <v>288</v>
      </c>
      <c r="C20" s="57" t="s">
        <v>290</v>
      </c>
      <c r="D20" s="58">
        <f>((SQRT((D16*(1+D16))))/(2*IF(F9,F9,D9)))*((SQRT(2)*'Design Spec'!D83)/((('Design Spec'!D95+'Design Spec'!D107*'Design Spec'!D106))))</f>
        <v>1.3561961614411828</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1.7018877898210536</v>
      </c>
      <c r="E26" s="1" t="str">
        <f>"-"</f>
        <v>-</v>
      </c>
    </row>
    <row r="27" spans="2:6" ht="14.25" customHeight="1">
      <c r="B27" s="1" t="s">
        <v>297</v>
      </c>
      <c r="C27" s="1" t="s">
        <v>298</v>
      </c>
      <c r="D27" s="3">
        <f>D17*D26</f>
        <v>23.317707456091821</v>
      </c>
      <c r="E27" s="1" t="s">
        <v>175</v>
      </c>
    </row>
    <row r="28" spans="2:6" ht="14.25" customHeight="1">
      <c r="B28" s="1" t="s">
        <v>299</v>
      </c>
      <c r="C28" s="1" t="s">
        <v>300</v>
      </c>
      <c r="D28" s="3">
        <f>RTC!$BB$149</f>
        <v>0.83781781585497994</v>
      </c>
      <c r="E28" s="1" t="str">
        <f>"-"</f>
        <v>-</v>
      </c>
    </row>
    <row r="29" spans="2:6" ht="14.25" customHeight="1">
      <c r="B29" s="1" t="s">
        <v>301</v>
      </c>
      <c r="C29" s="1" t="s">
        <v>302</v>
      </c>
      <c r="D29" s="3">
        <f>ATAN(((((D50^2)+(D50)+(((D28^2)-1)*(RTC!$C$41^2)))*(D28^2))-(D50^2))/(RTC!$C$41*(D28)^3))</f>
        <v>0.36747527282182207</v>
      </c>
      <c r="E29" s="1" t="str">
        <f>"-"</f>
        <v>-</v>
      </c>
    </row>
    <row r="30" spans="2:6" ht="14.25" customHeight="1">
      <c r="B30" s="1" t="s">
        <v>303</v>
      </c>
      <c r="C30" s="1" t="s">
        <v>304</v>
      </c>
      <c r="D30" s="49">
        <f>(D29)/(2*PI()*D28*D55)*1000000</f>
        <v>460.01804965911504</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18.437046543377097</v>
      </c>
      <c r="E35" s="1" t="s">
        <v>237</v>
      </c>
    </row>
    <row r="36" spans="2:6" ht="14.25" customHeight="1">
      <c r="B36" s="1" t="s">
        <v>310</v>
      </c>
      <c r="C36" s="1" t="s">
        <v>311</v>
      </c>
      <c r="D36" s="49">
        <f>D35*SIN(D29)</f>
        <v>6.6237008960255617</v>
      </c>
      <c r="E36" s="1" t="s">
        <v>237</v>
      </c>
    </row>
    <row r="37" spans="2:6" ht="14.25" customHeight="1">
      <c r="B37" s="1" t="s">
        <v>312</v>
      </c>
      <c r="C37" s="1" t="s">
        <v>313</v>
      </c>
      <c r="D37" s="49">
        <f>'Design Spec'!D111*(10^-12)*(SQRT(2)*'Design Spec'!D83/'Res. Tank Design'!D36)*10^9</f>
        <v>29.590708136837282</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6.0240999999999998</v>
      </c>
      <c r="E42" s="1" t="str">
        <f>"-"</f>
        <v>-</v>
      </c>
      <c r="F42" s="1"/>
    </row>
    <row r="43" spans="2:6" ht="14.25" customHeight="1">
      <c r="B43" s="1" t="s">
        <v>316</v>
      </c>
      <c r="C43" s="1" t="s">
        <v>317</v>
      </c>
      <c r="D43" s="3">
        <f>1/(2*PI()*'Design Spec'!D102*'Res. Tank Design'!D27)*1000000</f>
        <v>45.503313563048017</v>
      </c>
      <c r="E43" s="1" t="s">
        <v>200</v>
      </c>
      <c r="F43" s="2">
        <v>100</v>
      </c>
    </row>
    <row r="44" spans="2:6" ht="14.25" customHeight="1">
      <c r="B44" s="1" t="s">
        <v>318</v>
      </c>
      <c r="C44" s="1" t="s">
        <v>319</v>
      </c>
      <c r="D44" s="3">
        <f>1/(IF(F43,F43,D43)*(10^-12)*(2*PI()*'Design Spec'!D102*1000)^2)*1000</f>
        <v>11.257909293593086</v>
      </c>
      <c r="E44" s="1" t="s">
        <v>320</v>
      </c>
      <c r="F44" s="2">
        <v>11</v>
      </c>
    </row>
    <row r="45" spans="2:6" ht="14.25" customHeight="1">
      <c r="B45" s="1" t="s">
        <v>321</v>
      </c>
      <c r="C45" s="1" t="s">
        <v>322</v>
      </c>
      <c r="D45" s="3">
        <f>IF(F44,F44,D44)/D16</f>
        <v>8.8661373823173655</v>
      </c>
      <c r="E45" s="1" t="s">
        <v>320</v>
      </c>
      <c r="F45" s="2">
        <v>20</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0.55000000000000004</v>
      </c>
      <c r="E50" s="1" t="str">
        <f>"-"</f>
        <v>-</v>
      </c>
    </row>
    <row r="51" spans="2:5" ht="14.25" customHeight="1">
      <c r="B51" s="1" t="s">
        <v>325</v>
      </c>
      <c r="C51" s="1" t="s">
        <v>326</v>
      </c>
      <c r="D51" s="3">
        <f>IF(F9,F9,D9)*(1+D50)^0.5</f>
        <v>7.4999440168243918</v>
      </c>
      <c r="E51" s="1" t="str">
        <f>"-"</f>
        <v>-</v>
      </c>
    </row>
    <row r="52" spans="2:5" ht="14.25" customHeight="1">
      <c r="B52" s="1" t="s">
        <v>327</v>
      </c>
      <c r="C52" s="1" t="s">
        <v>328</v>
      </c>
      <c r="D52" s="49">
        <f>(IF(F44,F44,D44)/IF(F43,F43,D43)*1000)^0.5</f>
        <v>10.488088481701515</v>
      </c>
      <c r="E52" s="1" t="s">
        <v>175</v>
      </c>
    </row>
    <row r="53" spans="2:5" ht="14.25" customHeight="1">
      <c r="B53" s="1" t="s">
        <v>329</v>
      </c>
      <c r="C53" s="1" t="s">
        <v>330</v>
      </c>
      <c r="D53" s="49">
        <f>((IF(F44,F44,D44)+IF(F45,F45,D45))*1000/(IF(F43,F43,D43)))^0.5</f>
        <v>17.606816861659009</v>
      </c>
      <c r="E53" s="1" t="s">
        <v>175</v>
      </c>
    </row>
    <row r="54" spans="2:5" ht="14.25" customHeight="1">
      <c r="B54" s="1" t="s">
        <v>331</v>
      </c>
      <c r="C54" s="1" t="s">
        <v>332</v>
      </c>
      <c r="D54" s="3">
        <f>((D50)/(1+D50))^0.5</f>
        <v>0.59568339718127061</v>
      </c>
      <c r="E54" s="1" t="str">
        <f>"-"</f>
        <v>-</v>
      </c>
    </row>
    <row r="55" spans="2:5" ht="14.25" customHeight="1">
      <c r="B55" s="1" t="s">
        <v>333</v>
      </c>
      <c r="C55" s="1" t="s">
        <v>334</v>
      </c>
      <c r="D55" s="49">
        <f>1/(2*PI()*SQRT(IF(F44,F44,D44)*(10^-6)*IF(F43,F43,D43)*(10^-9)))/1000</f>
        <v>151.7482841316334</v>
      </c>
      <c r="E55" s="1" t="s">
        <v>187</v>
      </c>
    </row>
    <row r="56" spans="2:5" ht="14.25" customHeight="1">
      <c r="B56" s="1" t="s">
        <v>335</v>
      </c>
      <c r="C56" s="1" t="s">
        <v>336</v>
      </c>
      <c r="D56" s="49">
        <f>D55*D54</f>
        <v>90.393933407960077</v>
      </c>
      <c r="E56" s="1" t="s">
        <v>187</v>
      </c>
    </row>
    <row r="57" spans="2:5" ht="14.25" customHeight="1">
      <c r="B57" s="1" t="s">
        <v>337</v>
      </c>
      <c r="C57" s="1" t="s">
        <v>338</v>
      </c>
      <c r="D57" s="49">
        <f>SQRT((IF(F45,F45,D45)*(IF(F45,F45,D45)+IF(F44,F44,D44))))</f>
        <v>24.899799195977465</v>
      </c>
      <c r="E57" s="1" t="s">
        <v>320</v>
      </c>
    </row>
    <row r="58" spans="2:5" ht="14.25" customHeight="1">
      <c r="B58" s="1" t="s">
        <v>339</v>
      </c>
      <c r="C58" s="1" t="s">
        <v>340</v>
      </c>
      <c r="D58" s="49">
        <f>IF(F45,F45,D45)+IF(F44,F44,D44)-D57</f>
        <v>6.1002008040225348</v>
      </c>
      <c r="E58" s="1" t="s">
        <v>320</v>
      </c>
    </row>
    <row r="59" spans="2:5" ht="14.25" customHeight="1">
      <c r="B59" s="1" t="s">
        <v>341</v>
      </c>
      <c r="C59" s="1" t="s">
        <v>342</v>
      </c>
      <c r="D59" s="3">
        <f>D58/D51^2</f>
        <v>0.10844963331565581</v>
      </c>
      <c r="E59" s="1" t="s">
        <v>320</v>
      </c>
    </row>
    <row r="60" spans="2:5" ht="14.25" customHeight="1">
      <c r="B60" s="1" t="s">
        <v>343</v>
      </c>
      <c r="C60" s="1" t="s">
        <v>344</v>
      </c>
      <c r="D60" s="3">
        <f>(SQRT(2*(('Design Spec'!D111*(10^-12))/((IF(F44,F44,D44)+IF(F45,F45,D45))*(10^-6)))))*(SQRT(2)*'Design Spec'!D83)</f>
        <v>1.7601319598623939</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10.913174147128586</v>
      </c>
      <c r="E65" s="62" t="s">
        <v>237</v>
      </c>
    </row>
    <row r="66" spans="2:5" ht="14.25" customHeight="1">
      <c r="B66" s="1" t="s">
        <v>347</v>
      </c>
      <c r="C66" s="1" t="s">
        <v>348</v>
      </c>
      <c r="D66" s="49">
        <f>CC!E27</f>
        <v>16.370572119801032</v>
      </c>
      <c r="E66" s="1" t="s">
        <v>237</v>
      </c>
    </row>
    <row r="67" spans="2:5" ht="15" customHeight="1">
      <c r="B67" s="1" t="s">
        <v>349</v>
      </c>
      <c r="C67" s="1" t="s">
        <v>997</v>
      </c>
      <c r="D67" s="49">
        <f>CC!J25</f>
        <v>28.329125161562832</v>
      </c>
      <c r="E67" s="62" t="s">
        <v>237</v>
      </c>
    </row>
    <row r="68" spans="2:5" ht="14.25" customHeight="1">
      <c r="B68" s="1" t="s">
        <v>350</v>
      </c>
      <c r="C68" s="1" t="s">
        <v>351</v>
      </c>
      <c r="D68" s="49">
        <f>CC!E24</f>
        <v>98.617963506893403</v>
      </c>
      <c r="E68" s="1" t="s">
        <v>237</v>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119"/>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2200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160</v>
      </c>
      <c r="E23" s="1" t="s">
        <v>181</v>
      </c>
    </row>
    <row r="24" spans="2:5" ht="14.25" customHeight="1">
      <c r="B24" s="1" t="s">
        <v>369</v>
      </c>
      <c r="C24" s="1" t="s">
        <v>370</v>
      </c>
      <c r="D24" s="2">
        <v>470</v>
      </c>
      <c r="E24" s="1" t="s">
        <v>172</v>
      </c>
    </row>
    <row r="25" spans="2:5" ht="14.25" customHeight="1">
      <c r="B25" s="1" t="s">
        <v>371</v>
      </c>
      <c r="C25" s="1" t="s">
        <v>174</v>
      </c>
      <c r="D25" s="2">
        <v>30</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30.222320639537003</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18.490868157542515</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7" ht="14.25" customHeight="1">
      <c r="B38" s="1" t="s">
        <v>393</v>
      </c>
      <c r="C38" s="1" t="s">
        <v>394</v>
      </c>
      <c r="D38" s="2">
        <v>10</v>
      </c>
      <c r="E38" s="1" t="s">
        <v>172</v>
      </c>
    </row>
    <row r="39" spans="2:7" ht="14.25" customHeight="1">
      <c r="B39" s="1" t="s">
        <v>395</v>
      </c>
      <c r="C39" s="1" t="s">
        <v>396</v>
      </c>
      <c r="D39" s="49">
        <f>D34/(D27*10^(-6)*2*PI()*CC!$E$21*D38/(D36/100)+1)</f>
        <v>17.445661985353869</v>
      </c>
      <c r="E39" s="1" t="s">
        <v>386</v>
      </c>
    </row>
    <row r="40" spans="2:7" ht="14.25" customHeight="1">
      <c r="B40" s="1" t="s">
        <v>397</v>
      </c>
      <c r="C40" s="1" t="s">
        <v>398</v>
      </c>
      <c r="D40" s="49">
        <f>D28*D28*(((2*PI()*CC!E21*1000*D38*10^-6)/(D36/100))+(D27/1000)^-1)^-1</f>
        <v>0.16157979075405221</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s">
        <v>406</v>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1.8</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10.913174147128586</v>
      </c>
      <c r="E60" s="62" t="s">
        <v>237</v>
      </c>
      <c r="F60" s="65"/>
    </row>
    <row r="61" spans="2:7" ht="15" customHeight="1">
      <c r="B61" s="1" t="s">
        <v>1072</v>
      </c>
      <c r="C61" s="1" t="s">
        <v>1186</v>
      </c>
      <c r="D61" s="49">
        <f>CC!J30</f>
        <v>7.7167794437043398</v>
      </c>
      <c r="E61" s="62" t="s">
        <v>237</v>
      </c>
      <c r="F61" s="65"/>
    </row>
    <row r="62" spans="2:7" ht="18" customHeight="1">
      <c r="B62" s="1" t="s">
        <v>1073</v>
      </c>
      <c r="C62" s="1" t="s">
        <v>1074</v>
      </c>
      <c r="D62" s="49">
        <f>IF(ISNUMBER(F61),F61,D61)/D68</f>
        <v>7.7167794437043398</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23.810076879371358</v>
      </c>
      <c r="E65" s="1" t="s">
        <v>237</v>
      </c>
      <c r="F65" s="66"/>
    </row>
    <row r="66" spans="2:14" ht="15" customHeight="1">
      <c r="B66" s="1" t="s">
        <v>1077</v>
      </c>
      <c r="C66" s="1" t="s">
        <v>1078</v>
      </c>
      <c r="D66" s="49">
        <f>'Device Setting'!D32/D68</f>
        <v>18.315443753362583</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10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12.405618032339701</v>
      </c>
      <c r="E75" s="26" t="s">
        <v>237</v>
      </c>
      <c r="F75" s="76"/>
      <c r="G75" s="76"/>
      <c r="H75" s="76"/>
      <c r="I75" s="76"/>
      <c r="J75" s="76"/>
      <c r="K75" s="76"/>
      <c r="L75" s="76"/>
      <c r="M75" s="76"/>
      <c r="N75" s="76"/>
    </row>
    <row r="76" spans="2:14" ht="15.75" customHeight="1">
      <c r="B76" s="20" t="s">
        <v>356</v>
      </c>
      <c r="C76" s="20" t="s">
        <v>132</v>
      </c>
      <c r="D76" s="20" t="s">
        <v>133</v>
      </c>
      <c r="E76" s="20" t="s">
        <v>134</v>
      </c>
      <c r="F76" s="76"/>
      <c r="G76" s="76"/>
      <c r="H76" s="76"/>
      <c r="I76" s="76"/>
      <c r="J76" s="76"/>
      <c r="K76" s="76"/>
      <c r="L76" s="76"/>
      <c r="M76" s="76"/>
      <c r="N76" s="76"/>
    </row>
    <row r="77" spans="2:14" ht="14.25" customHeight="1">
      <c r="B77" s="1" t="s">
        <v>426</v>
      </c>
      <c r="C77" s="1" t="s">
        <v>427</v>
      </c>
      <c r="D77" s="1">
        <f>(2*D71)+D72</f>
        <v>1804</v>
      </c>
      <c r="E77" s="1" t="s">
        <v>194</v>
      </c>
      <c r="F77" s="76"/>
      <c r="G77" s="76"/>
      <c r="H77" s="76"/>
      <c r="I77" s="76"/>
      <c r="J77" s="76"/>
      <c r="K77" s="76"/>
      <c r="L77" s="76"/>
      <c r="M77" s="76"/>
      <c r="N77" s="76"/>
    </row>
    <row r="78" spans="2:14" ht="15" customHeight="1">
      <c r="B78" s="1" t="s">
        <v>1193</v>
      </c>
      <c r="C78" s="1" t="s">
        <v>428</v>
      </c>
      <c r="D78" s="200">
        <f>D70*D58*D62^2</f>
        <v>4.8234434836050069</v>
      </c>
      <c r="E78" s="1" t="s">
        <v>161</v>
      </c>
      <c r="F78" s="76"/>
      <c r="G78" s="76"/>
      <c r="H78" s="76"/>
      <c r="I78" s="76"/>
      <c r="J78" s="76"/>
      <c r="K78" s="76"/>
      <c r="L78" s="76"/>
      <c r="M78" s="76"/>
      <c r="N78" s="76"/>
    </row>
    <row r="79" spans="2:14" ht="15" customHeight="1">
      <c r="B79" s="1" t="s">
        <v>1194</v>
      </c>
      <c r="C79" s="1" t="s">
        <v>1195</v>
      </c>
      <c r="D79" s="200">
        <f>D70*D58*(D60/D68)^2</f>
        <v>9.6468869672100155</v>
      </c>
      <c r="E79" s="1" t="s">
        <v>161</v>
      </c>
      <c r="F79" s="76"/>
      <c r="G79" s="76"/>
      <c r="H79" s="76"/>
      <c r="I79" s="76"/>
      <c r="J79" s="76"/>
      <c r="K79" s="76"/>
      <c r="L79" s="76"/>
      <c r="M79" s="76"/>
      <c r="N79" s="76"/>
    </row>
    <row r="80" spans="2:14" ht="14.25" customHeight="1">
      <c r="B80" s="1" t="s">
        <v>1211</v>
      </c>
      <c r="C80" s="1" t="s">
        <v>429</v>
      </c>
      <c r="D80" s="200">
        <f>(125-D73)/MAX(D78,D79)</f>
        <v>10.366038323026094</v>
      </c>
      <c r="E80" s="1" t="s">
        <v>430</v>
      </c>
      <c r="F80" s="76"/>
      <c r="G80" s="76"/>
      <c r="H80" s="76"/>
      <c r="I80" s="76"/>
      <c r="J80" s="76"/>
      <c r="K80" s="76"/>
      <c r="L80" s="76"/>
      <c r="M80" s="76"/>
      <c r="N80" s="76"/>
    </row>
    <row r="81" spans="2:14" ht="18" customHeight="1">
      <c r="B81"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81" s="19"/>
      <c r="F81" s="76"/>
      <c r="G81" s="76"/>
      <c r="H81" s="76"/>
      <c r="I81" s="76"/>
      <c r="J81" s="76"/>
      <c r="K81" s="76"/>
      <c r="L81" s="76"/>
      <c r="M81" s="76"/>
      <c r="N81" s="76"/>
    </row>
    <row r="82" spans="2:14" ht="14.25" customHeight="1">
      <c r="B82" s="1"/>
      <c r="C82" s="1"/>
      <c r="D82" s="77"/>
      <c r="E82" s="1"/>
      <c r="F82" s="76"/>
      <c r="G82" s="76"/>
      <c r="H82" s="76"/>
      <c r="I82" s="76"/>
      <c r="J82" s="76"/>
      <c r="K82" s="76"/>
      <c r="L82" s="76"/>
      <c r="M82" s="76"/>
      <c r="N82" s="76"/>
    </row>
    <row r="83" spans="2:14" ht="15.75" customHeight="1">
      <c r="B83" s="20" t="s">
        <v>356</v>
      </c>
      <c r="C83" s="20" t="s">
        <v>132</v>
      </c>
      <c r="D83" s="20" t="s">
        <v>133</v>
      </c>
      <c r="E83" s="20" t="s">
        <v>431</v>
      </c>
      <c r="F83" s="76"/>
      <c r="G83" s="76"/>
      <c r="H83" s="76"/>
      <c r="I83" s="76"/>
      <c r="J83" s="76"/>
      <c r="K83" s="76"/>
      <c r="L83" s="76"/>
      <c r="M83" s="76"/>
      <c r="N83" s="76"/>
    </row>
    <row r="84" spans="2:14" ht="15" customHeight="1">
      <c r="B84" s="1" t="s">
        <v>1086</v>
      </c>
      <c r="C84" s="1" t="s">
        <v>1187</v>
      </c>
      <c r="D84" s="49">
        <f>CC!J25</f>
        <v>28.329125161562832</v>
      </c>
      <c r="E84" s="1" t="s">
        <v>237</v>
      </c>
      <c r="F84" s="65"/>
      <c r="G84" s="76"/>
      <c r="H84" s="76"/>
      <c r="I84" s="76"/>
      <c r="J84" s="76"/>
      <c r="K84" s="76"/>
      <c r="L84" s="76"/>
      <c r="M84" s="76"/>
      <c r="N84" s="76"/>
    </row>
    <row r="85" spans="2:14" ht="15" customHeight="1">
      <c r="B85" s="1" t="s">
        <v>1087</v>
      </c>
      <c r="C85" s="1" t="s">
        <v>1188</v>
      </c>
      <c r="D85" s="49">
        <f>CC!J26</f>
        <v>28.329125161562832</v>
      </c>
      <c r="E85" s="1" t="s">
        <v>237</v>
      </c>
      <c r="F85" s="65"/>
      <c r="G85" s="76"/>
      <c r="H85" s="76"/>
      <c r="I85" s="76"/>
      <c r="J85" s="76"/>
      <c r="K85" s="76"/>
      <c r="L85" s="76"/>
      <c r="M85" s="76"/>
      <c r="N85" s="76"/>
    </row>
    <row r="86" spans="2:14" ht="15" customHeight="1">
      <c r="B86" s="1" t="s">
        <v>1088</v>
      </c>
      <c r="C86" s="1" t="s">
        <v>432</v>
      </c>
      <c r="D86" s="49">
        <f>CC!E24</f>
        <v>98.617963506893403</v>
      </c>
      <c r="E86" s="1" t="s">
        <v>237</v>
      </c>
      <c r="F86" s="76"/>
      <c r="G86" s="76"/>
      <c r="H86" s="76"/>
      <c r="I86" s="76"/>
      <c r="J86" s="76"/>
      <c r="K86" s="76"/>
      <c r="L86" s="76"/>
      <c r="M86" s="76"/>
      <c r="N86" s="76"/>
    </row>
    <row r="87" spans="2:14" ht="15" customHeight="1">
      <c r="B87" s="1" t="s">
        <v>1089</v>
      </c>
      <c r="C87" s="1" t="s">
        <v>1090</v>
      </c>
      <c r="D87" s="49">
        <f>IF(ISNUMBER(F85),F85,D85)/D103</f>
        <v>14.164562580781416</v>
      </c>
      <c r="E87" s="1" t="s">
        <v>237</v>
      </c>
      <c r="F87" s="76"/>
      <c r="G87" s="76"/>
      <c r="H87" s="76"/>
      <c r="I87" s="76"/>
      <c r="J87" s="76"/>
      <c r="K87" s="76"/>
      <c r="L87" s="76"/>
      <c r="M87" s="76"/>
      <c r="N87" s="76"/>
    </row>
    <row r="88" spans="2:14" ht="15" customHeight="1">
      <c r="B88" s="20" t="s">
        <v>356</v>
      </c>
      <c r="C88" s="20" t="s">
        <v>132</v>
      </c>
      <c r="D88" s="20" t="s">
        <v>133</v>
      </c>
      <c r="E88" s="20" t="s">
        <v>431</v>
      </c>
      <c r="F88" s="76"/>
      <c r="G88" s="76"/>
      <c r="H88" s="76"/>
      <c r="I88" s="76"/>
      <c r="J88" s="76"/>
      <c r="K88" s="76"/>
      <c r="L88" s="76"/>
      <c r="M88" s="76"/>
      <c r="N88" s="76"/>
    </row>
    <row r="89" spans="2:14" ht="15" customHeight="1">
      <c r="B89" s="1" t="s">
        <v>1091</v>
      </c>
      <c r="C89" s="1" t="s">
        <v>415</v>
      </c>
      <c r="D89" s="49">
        <f>1.2*2*'Design Spec'!$D$95/'Design Spec'!$D$107</f>
        <v>60</v>
      </c>
      <c r="E89" s="1" t="s">
        <v>150</v>
      </c>
      <c r="F89" s="76"/>
      <c r="G89" s="76"/>
      <c r="H89" s="76"/>
      <c r="I89" s="76"/>
      <c r="J89" s="76"/>
      <c r="K89" s="76"/>
      <c r="L89" s="76"/>
      <c r="M89" s="76"/>
      <c r="N89" s="76"/>
    </row>
    <row r="90" spans="2:14" ht="14.25" customHeight="1">
      <c r="B90" s="1" t="s">
        <v>1092</v>
      </c>
      <c r="C90" s="1" t="s">
        <v>416</v>
      </c>
      <c r="D90" s="49">
        <f>1.2*D86</f>
        <v>118.34155620827208</v>
      </c>
      <c r="E90" s="1" t="s">
        <v>237</v>
      </c>
      <c r="F90" s="76"/>
      <c r="G90" s="76"/>
      <c r="H90" s="76"/>
      <c r="I90" s="76"/>
      <c r="J90" s="76"/>
      <c r="K90" s="76"/>
      <c r="L90" s="76"/>
      <c r="M90" s="76"/>
      <c r="N90" s="76"/>
    </row>
    <row r="91" spans="2:14" ht="14.25" customHeight="1">
      <c r="B91" s="1" t="s">
        <v>1093</v>
      </c>
      <c r="C91" s="1" t="s">
        <v>1094</v>
      </c>
      <c r="D91" s="49">
        <f>D86/D103</f>
        <v>49.308981753446702</v>
      </c>
      <c r="E91" s="1" t="s">
        <v>237</v>
      </c>
      <c r="F91" s="76"/>
      <c r="G91" s="76"/>
      <c r="H91" s="76"/>
      <c r="I91" s="76"/>
      <c r="J91" s="76"/>
      <c r="K91" s="76"/>
      <c r="L91" s="76"/>
      <c r="M91" s="76"/>
      <c r="N91" s="76"/>
    </row>
    <row r="92" spans="2:14" ht="15.75" customHeight="1">
      <c r="B92" s="20" t="s">
        <v>417</v>
      </c>
      <c r="C92" s="202" t="s">
        <v>1202</v>
      </c>
      <c r="D92" s="202"/>
      <c r="E92" s="202"/>
      <c r="F92" s="76"/>
      <c r="G92" s="76"/>
      <c r="H92" s="76"/>
      <c r="I92" s="76"/>
      <c r="J92" s="76"/>
      <c r="K92" s="76"/>
      <c r="L92" s="76"/>
      <c r="M92" s="76"/>
      <c r="N92" s="76"/>
    </row>
    <row r="93" spans="2:14" ht="14.25" customHeight="1">
      <c r="B93" s="1" t="s">
        <v>1095</v>
      </c>
      <c r="C93" s="1" t="s">
        <v>1096</v>
      </c>
      <c r="D93" s="2">
        <v>2</v>
      </c>
      <c r="E93" s="26" t="s">
        <v>181</v>
      </c>
      <c r="F93" s="76"/>
    </row>
    <row r="94" spans="2:14" ht="15.75" customHeight="1">
      <c r="B94" s="20" t="s">
        <v>356</v>
      </c>
      <c r="C94" s="20" t="s">
        <v>132</v>
      </c>
      <c r="D94" s="20" t="s">
        <v>133</v>
      </c>
      <c r="E94" s="20" t="s">
        <v>134</v>
      </c>
    </row>
    <row r="95" spans="2:14" ht="14.25" customHeight="1">
      <c r="B95" s="1" t="s">
        <v>1097</v>
      </c>
      <c r="C95" s="1" t="s">
        <v>403</v>
      </c>
      <c r="D95" s="2">
        <v>0</v>
      </c>
      <c r="E95" s="1" t="s">
        <v>150</v>
      </c>
    </row>
    <row r="96" spans="2:14" ht="15" customHeight="1">
      <c r="B96" s="1" t="s">
        <v>1219</v>
      </c>
      <c r="C96" s="1" t="s">
        <v>433</v>
      </c>
      <c r="D96" s="2">
        <v>3.7000000000000002E-3</v>
      </c>
      <c r="E96" s="26" t="s">
        <v>175</v>
      </c>
    </row>
    <row r="97" spans="2:5" ht="15" customHeight="1">
      <c r="B97" s="1" t="s">
        <v>423</v>
      </c>
      <c r="C97" s="1" t="s">
        <v>424</v>
      </c>
      <c r="D97" s="2">
        <v>25</v>
      </c>
      <c r="E97" s="26" t="s">
        <v>425</v>
      </c>
    </row>
    <row r="98" spans="2:5" ht="15">
      <c r="B98" s="1" t="s">
        <v>1217</v>
      </c>
      <c r="C98" s="1" t="s">
        <v>1098</v>
      </c>
      <c r="D98" s="2">
        <v>1.9</v>
      </c>
      <c r="E98" s="26" t="s">
        <v>181</v>
      </c>
    </row>
    <row r="99" spans="2:5" ht="15.75" customHeight="1">
      <c r="B99" s="20" t="s">
        <v>356</v>
      </c>
      <c r="C99" s="20" t="s">
        <v>132</v>
      </c>
      <c r="D99" s="20" t="s">
        <v>133</v>
      </c>
      <c r="E99" s="20" t="s">
        <v>134</v>
      </c>
    </row>
    <row r="100" spans="2:5" ht="14.25" customHeight="1">
      <c r="B100" s="1" t="s">
        <v>1084</v>
      </c>
      <c r="C100" s="1" t="s">
        <v>434</v>
      </c>
      <c r="D100" s="49">
        <f>IF(D93=2,0,0.5*D95*'Preliminary Calculation'!D7/D103)+D96*D98*D87^2</f>
        <v>1.4104628767272578</v>
      </c>
      <c r="E100" s="1" t="s">
        <v>161</v>
      </c>
    </row>
    <row r="101" spans="2:5" ht="15" customHeight="1">
      <c r="B101" s="1" t="s">
        <v>1099</v>
      </c>
      <c r="C101" s="1" t="s">
        <v>429</v>
      </c>
      <c r="D101" s="49">
        <f>(125-D97)/D100</f>
        <v>70.898711089818406</v>
      </c>
      <c r="E101" s="1" t="s">
        <v>430</v>
      </c>
    </row>
    <row r="102" spans="2:5" ht="14.25" customHeight="1">
      <c r="B102" s="1" t="s">
        <v>1100</v>
      </c>
      <c r="C102" s="1" t="s">
        <v>435</v>
      </c>
      <c r="D102" s="49">
        <f>D100*D103*2*'Design Spec'!$D$107</f>
        <v>5.6418515069090311</v>
      </c>
      <c r="E102" s="1" t="s">
        <v>161</v>
      </c>
    </row>
    <row r="103" spans="2:5" ht="15">
      <c r="B103" s="1" t="s">
        <v>1101</v>
      </c>
      <c r="C103" s="1" t="s">
        <v>1102</v>
      </c>
      <c r="D103" s="2">
        <v>2</v>
      </c>
      <c r="E103" s="26" t="s">
        <v>181</v>
      </c>
    </row>
    <row r="104" spans="2:5" ht="18" customHeight="1">
      <c r="B104" s="28" t="s">
        <v>436</v>
      </c>
      <c r="C104" s="28" t="s">
        <v>437</v>
      </c>
      <c r="D104" s="78"/>
      <c r="E104" s="79"/>
    </row>
    <row r="105" spans="2:5" ht="14.25" customHeight="1">
      <c r="B105" s="80"/>
      <c r="C105" s="80"/>
      <c r="E105" s="81"/>
    </row>
    <row r="106" spans="2:5" ht="14.25" customHeight="1">
      <c r="B106" s="80"/>
      <c r="C106" s="80"/>
      <c r="E106" s="81"/>
    </row>
    <row r="107" spans="2:5" ht="14.25" customHeight="1">
      <c r="B107" s="80"/>
      <c r="C107" s="80"/>
      <c r="E107" s="81"/>
    </row>
    <row r="108" spans="2:5" ht="14.25" customHeight="1">
      <c r="B108" s="80"/>
      <c r="C108" s="80"/>
      <c r="E108" s="81"/>
    </row>
    <row r="109" spans="2:5" ht="14.25" customHeight="1">
      <c r="B109" s="80"/>
      <c r="C109" s="80"/>
      <c r="E109" s="81"/>
    </row>
    <row r="110" spans="2:5" ht="14.25" customHeight="1">
      <c r="B110" s="80"/>
      <c r="C110" s="80"/>
      <c r="E110" s="81"/>
    </row>
    <row r="111" spans="2:5" ht="14.25" customHeight="1">
      <c r="B111" s="80"/>
      <c r="C111" s="80"/>
      <c r="E111" s="81"/>
    </row>
    <row r="112" spans="2:5" ht="14.25" customHeight="1">
      <c r="B112" s="80"/>
      <c r="C112" s="80"/>
      <c r="E112" s="81"/>
    </row>
    <row r="113" spans="2:5" ht="14.25" customHeight="1">
      <c r="B113" s="80"/>
      <c r="C113" s="80"/>
      <c r="E113" s="81"/>
    </row>
    <row r="114" spans="2:5" ht="14.25" customHeight="1">
      <c r="B114" s="80"/>
      <c r="C114" s="80"/>
      <c r="E114" s="81"/>
    </row>
    <row r="115" spans="2:5" ht="14.25" customHeight="1">
      <c r="B115" s="80"/>
      <c r="C115" s="80"/>
      <c r="E115" s="81"/>
    </row>
    <row r="116" spans="2:5" ht="14.25" customHeight="1">
      <c r="B116" s="80"/>
      <c r="C116" s="80"/>
      <c r="E116" s="81"/>
    </row>
    <row r="117" spans="2:5" ht="14.25" customHeight="1">
      <c r="B117" s="80"/>
      <c r="C117" s="80"/>
      <c r="E117" s="81"/>
    </row>
    <row r="118" spans="2:5" ht="14.25" customHeight="1">
      <c r="B118" s="80"/>
      <c r="C118" s="80"/>
      <c r="E118" s="81"/>
    </row>
    <row r="119" spans="2:5" ht="14.25" customHeight="1">
      <c r="B119" s="82"/>
      <c r="C119" s="82"/>
      <c r="D119" s="83"/>
      <c r="E119" s="84"/>
    </row>
  </sheetData>
  <mergeCells count="3">
    <mergeCell ref="C50:E50"/>
    <mergeCell ref="C67:E67"/>
    <mergeCell ref="C92:E92"/>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90.393933407960077</v>
      </c>
      <c r="E1" s="85" t="s">
        <v>187</v>
      </c>
    </row>
    <row r="2" spans="2:5" ht="16.5" hidden="1" customHeight="1">
      <c r="B2" s="85" t="s">
        <v>440</v>
      </c>
      <c r="C2" s="85" t="s">
        <v>441</v>
      </c>
      <c r="D2" s="86">
        <f>RTC!$BD$212</f>
        <v>249.02958554106198</v>
      </c>
      <c r="E2" s="85" t="s">
        <v>187</v>
      </c>
    </row>
    <row r="3" spans="2:5" ht="16.5" hidden="1" customHeight="1">
      <c r="B3" s="85" t="s">
        <v>442</v>
      </c>
      <c r="C3" s="85" t="s">
        <v>443</v>
      </c>
      <c r="D3" s="86">
        <f>MAX(D2,MIN('Design Spec'!D104,D2*1.5))</f>
        <v>249.02958554106198</v>
      </c>
      <c r="E3" s="85" t="s">
        <v>187</v>
      </c>
    </row>
    <row r="4" spans="2:5" ht="16.5" hidden="1" customHeight="1">
      <c r="B4" s="85" t="s">
        <v>444</v>
      </c>
      <c r="C4" s="85" t="s">
        <v>334</v>
      </c>
      <c r="D4" s="86">
        <f>'Res. Tank Design'!D55</f>
        <v>151.7482841316334</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702.58769721964188</v>
      </c>
      <c r="E19" s="1" t="s">
        <v>194</v>
      </c>
      <c r="I19" s="14"/>
      <c r="P19" s="15"/>
    </row>
    <row r="20" spans="2:16" ht="16.5" customHeight="1">
      <c r="B20" s="1" t="s">
        <v>461</v>
      </c>
      <c r="C20" s="1" t="s">
        <v>462</v>
      </c>
      <c r="D20" s="49">
        <f>(1/(D14*(10^3)))*((1/(2*D1*10^3))-(D13*(10^-9)))*10^12</f>
        <v>176.0448216856295</v>
      </c>
      <c r="E20" s="1" t="s">
        <v>194</v>
      </c>
      <c r="I20" s="14"/>
      <c r="P20" s="15"/>
    </row>
    <row r="21" spans="2:16" ht="16.5" customHeight="1">
      <c r="B21" s="1" t="s">
        <v>463</v>
      </c>
      <c r="C21" s="1" t="s">
        <v>464</v>
      </c>
      <c r="D21" s="93">
        <v>470</v>
      </c>
      <c r="E21" s="1" t="s">
        <v>194</v>
      </c>
      <c r="F21">
        <v>470</v>
      </c>
      <c r="I21" s="14"/>
      <c r="P21" s="15"/>
    </row>
    <row r="22" spans="2:16" ht="16.5" customHeight="1">
      <c r="C22" s="1" t="s">
        <v>1017</v>
      </c>
      <c r="D22" s="49">
        <f>MIN(D19/D21,D21/D20)</f>
        <v>1.4948674408928551</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11.23690351184869</v>
      </c>
      <c r="E24" s="94" t="s">
        <v>452</v>
      </c>
      <c r="F24" s="93">
        <v>11</v>
      </c>
      <c r="I24" s="14"/>
      <c r="P24" s="15"/>
    </row>
    <row r="25" spans="2:16" ht="16.5" customHeight="1">
      <c r="B25" s="95"/>
      <c r="C25" s="1" t="s">
        <v>1019</v>
      </c>
      <c r="D25" s="49">
        <f>D24/IF(ISNUMBER(F24),F24,D24)</f>
        <v>1.0215366828953354</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319.60996749729145</v>
      </c>
      <c r="E27" s="1" t="s">
        <v>187</v>
      </c>
      <c r="I27" s="14"/>
      <c r="P27" s="15"/>
    </row>
    <row r="28" spans="2:16" ht="16.5" customHeight="1">
      <c r="B28" s="1" t="s">
        <v>468</v>
      </c>
      <c r="C28" s="1" t="s">
        <v>469</v>
      </c>
      <c r="D28" s="49">
        <f>1/(2*(D21*F24*(10^-9)+D13*(10^-9)))/1000</f>
        <v>92.250922509225092</v>
      </c>
      <c r="E28" s="1" t="s">
        <v>187</v>
      </c>
      <c r="I28" s="14"/>
      <c r="P28" s="15"/>
    </row>
    <row r="29" spans="2:16" ht="16.5" customHeight="1">
      <c r="B29" s="1" t="s">
        <v>470</v>
      </c>
      <c r="C29" s="1" t="s">
        <v>471</v>
      </c>
      <c r="D29" s="49">
        <f>1/(2*(((D21*(10^-12))/((((D15+D16)*(10^-3))/(D12))+(1/(F24*(10^3)))))+(D13*(10^-9))))/1000</f>
        <v>503.32915179002219</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18.315443753362583</v>
      </c>
      <c r="E32" s="85" t="s">
        <v>237</v>
      </c>
    </row>
    <row r="33" spans="2:11" ht="16.5" hidden="1" customHeight="1">
      <c r="B33" s="85" t="s">
        <v>473</v>
      </c>
      <c r="C33" s="85" t="s">
        <v>474</v>
      </c>
      <c r="D33" s="86">
        <f>MAX(CC!E29,'Preliminary Calculation'!D11)</f>
        <v>13.760291647292615</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30.029302451327396</v>
      </c>
      <c r="E39" s="1" t="s">
        <v>372</v>
      </c>
    </row>
    <row r="40" spans="2:11" ht="16.5" customHeight="1">
      <c r="B40" s="1" t="s">
        <v>479</v>
      </c>
      <c r="C40" s="1" t="s">
        <v>480</v>
      </c>
      <c r="D40" s="27">
        <f>(MIN(D38,D39)/1000)*(D33)^2</f>
        <v>4.6453396307684436</v>
      </c>
      <c r="E40" s="1" t="s">
        <v>161</v>
      </c>
    </row>
    <row r="41" spans="2:11" ht="16.5" customHeight="1">
      <c r="B41" s="1" t="s">
        <v>481</v>
      </c>
      <c r="C41" s="1" t="s">
        <v>482</v>
      </c>
      <c r="D41" s="2">
        <v>1</v>
      </c>
      <c r="E41" s="1" t="s">
        <v>161</v>
      </c>
    </row>
    <row r="42" spans="2:11" ht="16.5" customHeight="1">
      <c r="B42" s="1" t="s">
        <v>483</v>
      </c>
      <c r="C42" s="1" t="s">
        <v>484</v>
      </c>
      <c r="D42" s="96">
        <f>_xlfn.CEILING.MATH(D40/D41)</f>
        <v>5</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4.5442950292452222</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1.2512209354719748</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8" ht="16.5" customHeight="1">
      <c r="B57" s="1" t="s">
        <v>505</v>
      </c>
      <c r="C57" s="1" t="s">
        <v>506</v>
      </c>
      <c r="D57" s="2">
        <v>75</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8" ht="16.5" customHeight="1">
      <c r="B61" s="1" t="s">
        <v>509</v>
      </c>
      <c r="C61" s="1" t="s">
        <v>510</v>
      </c>
      <c r="D61" s="1">
        <f>16.7*(D57*D46*(10^-3))</f>
        <v>30.06</v>
      </c>
      <c r="E61" s="1" t="s">
        <v>452</v>
      </c>
      <c r="F61" s="2">
        <v>30</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5" ht="16.5" hidden="1" customHeight="1">
      <c r="B71" s="88" t="s">
        <v>517</v>
      </c>
      <c r="C71" s="88" t="s">
        <v>518</v>
      </c>
      <c r="D71" s="89">
        <v>1.36</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1.0</v>
      </c>
    </row>
    <row r="84" spans="2:6" ht="16.5" customHeight="1">
      <c r="B84" s="1" t="inlineStr">
        <is>
          <t xml:space="preserve">Auxiliary ratio check for a winding wired STRAIGHT to VCC. This design feeds VCC through a Zener regulator (about 13.6 V), so D84 &lt; 1 is intended: the 25 V limit applies to the regulator output, checked in the SMath sheet section 14c (k.VCC).</t>
        </is>
      </c>
      <c r="C84" s="1" t="s">
        <v>1020</v>
      </c>
      <c r="D84" s="49">
        <f>D83/IF(ISNUMBER(F83),F83,D83)</f>
        <v>0.8363636363636361</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27.500000000000004</v>
      </c>
      <c r="E86" s="1" t="s">
        <v>150</v>
      </c>
      <c r="F86" s="1"/>
    </row>
    <row r="87" spans="2:6" ht="16.5" customHeight="1">
      <c r="B87" s="1" t="s">
        <v>537</v>
      </c>
      <c r="C87" s="1" t="s">
        <v>538</v>
      </c>
      <c r="D87" s="49">
        <f>D86/D72*D73</f>
        <v>29.891304347826093</v>
      </c>
      <c r="E87" s="1" t="s">
        <v>150</v>
      </c>
      <c r="F87" s="1"/>
    </row>
    <row r="88" spans="2:6" ht="16.5" customHeight="1">
      <c r="B88" s="1" t="s">
        <v>539</v>
      </c>
      <c r="C88" s="1" t="s">
        <v>540</v>
      </c>
      <c r="D88" s="49">
        <f>D86/D72*D71</f>
        <v>16.260869565217394</v>
      </c>
      <c r="E88" s="1" t="s">
        <v>150</v>
      </c>
      <c r="F88" s="1"/>
    </row>
    <row r="89" spans="2:6" ht="16.5" customHeight="1">
      <c r="B89" s="1" t="s">
        <v>541</v>
      </c>
      <c r="C89" s="1" t="s">
        <v>542</v>
      </c>
      <c r="D89" s="49">
        <f>D88/F83</f>
        <v>16.260869565217394</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208.17391304347834</v>
      </c>
      <c r="E91" s="1" t="s">
        <v>452</v>
      </c>
      <c r="F91" s="2">
        <v>220.0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28.93157894736842</v>
      </c>
      <c r="E94" s="1" t="s">
        <v>150</v>
      </c>
      <c r="F94" s="22"/>
    </row>
    <row r="95" spans="2:6" ht="16.5" customHeight="1">
      <c r="B95" s="1" t="s">
        <v>548</v>
      </c>
      <c r="C95" s="1" t="s">
        <v>530</v>
      </c>
      <c r="D95" s="49">
        <f>(D73/F83)*((F91/F90)+1)</f>
        <v>31.447368421052634</v>
      </c>
      <c r="E95" s="1" t="s">
        <v>150</v>
      </c>
      <c r="F95" s="22"/>
    </row>
    <row r="96" spans="2:6" ht="16.5" customHeight="1">
      <c r="B96" s="1" t="s">
        <v>549</v>
      </c>
      <c r="C96" s="1" t="s">
        <v>536</v>
      </c>
      <c r="D96" s="49">
        <f>F83*D94</f>
        <v>28.93157894736842</v>
      </c>
      <c r="E96" s="1" t="s">
        <v>150</v>
      </c>
      <c r="F96" s="22"/>
    </row>
    <row r="97" spans="2:6" ht="16.5" customHeight="1">
      <c r="B97" s="1" t="s">
        <v>550</v>
      </c>
      <c r="C97" s="1" t="s">
        <v>538</v>
      </c>
      <c r="D97" s="49">
        <f>F83*D95</f>
        <v>31.447368421052634</v>
      </c>
      <c r="E97" s="1" t="s">
        <v>150</v>
      </c>
      <c r="F97" s="22"/>
    </row>
    <row r="98" spans="2:6" ht="16.5" customHeight="1">
      <c r="B98" s="1" t="s">
        <v>551</v>
      </c>
      <c r="C98" s="1" t="s">
        <v>540</v>
      </c>
      <c r="D98" s="49">
        <f>(D96/D72)*(D71)</f>
        <v>17.107368421052634</v>
      </c>
      <c r="E98" s="1" t="s">
        <v>150</v>
      </c>
      <c r="F98" s="22"/>
    </row>
    <row r="99" spans="2:6" ht="16.5" customHeight="1">
      <c r="B99" s="1" t="s">
        <v>552</v>
      </c>
      <c r="C99" s="1" t="s">
        <v>542</v>
      </c>
      <c r="D99" s="49">
        <f>D98/F83</f>
        <v>17.107368421052634</v>
      </c>
      <c r="E99" s="1" t="s">
        <v>150</v>
      </c>
      <c r="F99" s="22"/>
    </row>
    <row r="100" spans="2:6" ht="16.5" customHeight="1">
      <c r="B100" s="1" t="s">
        <v>553</v>
      </c>
      <c r="C100" s="1" t="s">
        <v>554</v>
      </c>
      <c r="D100" s="49">
        <f>'Design Spec'!D95*F83</f>
        <v>25.0</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30</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12</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s">
        <v>584</v>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0.8</v>
      </c>
      <c r="E23" s="1" t="s">
        <v>455</v>
      </c>
      <c r="H23" s="109"/>
      <c r="K23" s="110"/>
    </row>
    <row r="24" spans="2:11" ht="14.25" customHeight="1">
      <c r="B24" s="25"/>
      <c r="C24" s="25"/>
      <c r="D24" s="25"/>
      <c r="E24" s="25"/>
      <c r="H24" s="109"/>
      <c r="K24" s="110"/>
    </row>
    <row r="25" spans="2:11" ht="15" customHeight="1">
      <c r="B25" s="69" t="s">
        <v>589</v>
      </c>
      <c r="C25" s="202" t="s">
        <v>1200</v>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11" ht="14.25" customHeight="1">
      <c r="B28" s="1" t="s">
        <v>590</v>
      </c>
      <c r="C28" s="1" t="s">
        <v>591</v>
      </c>
      <c r="D28" s="2">
        <v>1.1499999999999999</v>
      </c>
      <c r="E28" s="1" t="s">
        <v>150</v>
      </c>
    </row>
    <row r="29" spans="2:11" ht="14.25" customHeight="1">
      <c r="B29" s="1" t="s">
        <v>592</v>
      </c>
      <c r="C29" s="1" t="s">
        <v>593</v>
      </c>
      <c r="D29" s="2">
        <v>0.37</v>
      </c>
      <c r="E29" s="1"/>
    </row>
    <row r="30" spans="2:11" ht="14.25" customHeight="1">
      <c r="B30" s="1" t="s">
        <v>594</v>
      </c>
      <c r="C30" s="1" t="s">
        <v>595</v>
      </c>
      <c r="D30" s="2">
        <v>3</v>
      </c>
      <c r="E30" s="1" t="s">
        <v>200</v>
      </c>
    </row>
    <row r="31" spans="2:11" ht="14.25" customHeight="1">
      <c r="B31" s="1" t="s">
        <v>596</v>
      </c>
      <c r="C31" s="1" t="s">
        <v>597</v>
      </c>
      <c r="D31" s="2">
        <v>0.53</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6.2</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82</v>
      </c>
      <c r="G93" s="125"/>
    </row>
    <row r="94" spans="2:7" ht="14.25" customHeight="1">
      <c r="B94" s="1" t="s">
        <v>666</v>
      </c>
      <c r="C94" s="1" t="s">
        <v>667</v>
      </c>
      <c r="D94" s="49">
        <f>IF(F93,F93,D93)*((D85/D86)-1)</f>
        <v>525.49155297423772</v>
      </c>
      <c r="E94" s="1" t="s">
        <v>200</v>
      </c>
      <c r="F94" s="2">
        <v>560</v>
      </c>
      <c r="G94" s="125"/>
    </row>
    <row r="95" spans="2:7" ht="14.25" customHeight="1">
      <c r="B95" s="1" t="s">
        <v>668</v>
      </c>
      <c r="C95" s="54" t="s">
        <v>669</v>
      </c>
      <c r="D95" s="55">
        <f>1/(2*PI()*(D86*IF(F94,F94,D94)*(10^-9)))/1000</f>
        <v>45.715337710116671</v>
      </c>
      <c r="E95" s="54" t="s">
        <v>452</v>
      </c>
      <c r="F95" s="2">
        <v>47</v>
      </c>
      <c r="G95" s="125"/>
    </row>
    <row r="96" spans="2:7" ht="14.25" customHeight="1">
      <c r="B96" s="1" t="s">
        <v>670</v>
      </c>
      <c r="C96" s="1" t="s">
        <v>671</v>
      </c>
      <c r="D96" s="55">
        <f>((1/(2*PI()*D87*D17*1000))-(D30*10^-9))*(10^9)</f>
        <v>1.5472840883398662</v>
      </c>
      <c r="E96" s="1" t="s">
        <v>200</v>
      </c>
      <c r="F96" s="2">
        <v>1.55</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47</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20</v>
      </c>
      <c r="F9" s="1" t="s">
        <v>320</v>
      </c>
      <c r="G9" s="146" t="str">
        <f>IF(E9,"","Res. Tank Design")</f>
        <v/>
      </c>
      <c r="I9" s="80"/>
      <c r="W9" s="81"/>
    </row>
    <row r="10" spans="2:23" ht="14.25" customHeight="1">
      <c r="B10" s="143"/>
      <c r="C10" s="1" t="s">
        <v>318</v>
      </c>
      <c r="D10" s="1" t="s">
        <v>319</v>
      </c>
      <c r="E10" s="147">
        <f>'Res. Tank Design'!F44</f>
        <v>11</v>
      </c>
      <c r="F10" s="1" t="s">
        <v>320</v>
      </c>
      <c r="G10" s="146" t="str">
        <f>IF(E10,"","Res. Tank Design")</f>
        <v/>
      </c>
      <c r="I10" s="80"/>
      <c r="W10" s="81"/>
    </row>
    <row r="11" spans="2:23" ht="14.25" customHeight="1">
      <c r="B11" s="143"/>
      <c r="C11" s="1" t="s">
        <v>316</v>
      </c>
      <c r="D11" s="1" t="s">
        <v>317</v>
      </c>
      <c r="E11" s="147">
        <f>'Res. Tank Design'!F43</f>
        <v>100</v>
      </c>
      <c r="F11" s="1" t="s">
        <v>200</v>
      </c>
      <c r="G11" s="146" t="str">
        <f>IF(E11,"","Res. Tank Design")</f>
        <v/>
      </c>
      <c r="I11" s="80"/>
      <c r="W11" s="81"/>
    </row>
    <row r="12" spans="2:23" ht="14.25" customHeight="1">
      <c r="B12" s="143"/>
      <c r="C12" s="1" t="s">
        <v>721</v>
      </c>
      <c r="D12" s="1" t="s">
        <v>268</v>
      </c>
      <c r="E12" s="147">
        <f>'Res. Tank Design'!F9</f>
        <v>6.0240999999999998</v>
      </c>
      <c r="F12" s="1" t="str">
        <f>"-"</f>
        <v>-</v>
      </c>
      <c r="G12" s="146" t="str">
        <f>IF(E12,"","Res. Tank Design")</f>
        <v/>
      </c>
      <c r="I12" s="80"/>
      <c r="W12" s="81"/>
    </row>
    <row r="13" spans="2:23" ht="14.25" customHeight="1">
      <c r="B13" s="143"/>
      <c r="C13" s="54" t="s">
        <v>722</v>
      </c>
      <c r="D13" s="54" t="s">
        <v>723</v>
      </c>
      <c r="E13" s="147">
        <f>'Device Setting'!$F$83</f>
        <v>1.5</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3" ht="14.25" customHeight="1">
      <c r="B56" s="143"/>
      <c r="C56" s="1" t="s">
        <v>1028</v>
      </c>
      <c r="D56" s="1" t="s">
        <v>754</v>
      </c>
      <c r="E56" s="150">
        <f>IF('Device Setting'!F91,'Device Setting'!F91,'Device Setting'!D91)</f>
        <v>220.0</v>
      </c>
      <c r="F56" s="1" t="s">
        <v>452</v>
      </c>
      <c r="G56" s="146" t="str">
        <f t="shared" si="1"/>
        <v/>
      </c>
      <c r="I56" s="80"/>
      <c r="W56" s="81"/>
    </row>
    <row r="57" spans="2:24" ht="14.25" customHeight="1">
      <c r="B57" s="143"/>
      <c r="C57" s="1" t="s">
        <v>755</v>
      </c>
      <c r="D57" s="1" t="s">
        <v>756</v>
      </c>
      <c r="E57" s="150">
        <f>'Device Setting'!$D$21</f>
        <v>470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Components'!$C$92</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6.0240999999999998</v>
      </c>
      <c r="D10" s="10">
        <f>IF('Res. Tank Design'!$F$9,'Res. Tank Design'!$F$9,'Res. Tank Design'!$D$9)</f>
        <v>6.0240999999999998</v>
      </c>
      <c r="E10" s="10">
        <f>IF('Res. Tank Design'!$F$9,'Res. Tank Design'!$F$9,'Res. Tank Design'!$D$9)</f>
        <v>6.0240999999999998</v>
      </c>
      <c r="F10" s="10">
        <f>IF('Res. Tank Design'!$F$9,'Res. Tank Design'!$F$9,'Res. Tank Design'!$D$9)</f>
        <v>6.0240999999999998</v>
      </c>
      <c r="G10" s="10">
        <f>IF('Res. Tank Design'!$F$9,'Res. Tank Design'!$F$9,'Res. Tank Design'!$D$9)</f>
        <v>6.0240999999999998</v>
      </c>
      <c r="H10" s="10">
        <f>IF('Res. Tank Design'!$F$9,'Res. Tank Design'!$F$9,'Res. Tank Design'!$D$9)</f>
        <v>6.0240999999999998</v>
      </c>
      <c r="I10" s="10">
        <f>IF('Res. Tank Design'!$F$9,'Res. Tank Design'!$F$9,'Res. Tank Design'!$D$9)</f>
        <v>6.0240999999999998</v>
      </c>
      <c r="J10" s="10">
        <f>IF('Res. Tank Design'!$F$9,'Res. Tank Design'!$F$9,'Res. Tank Design'!$D$9)</f>
        <v>6.0240999999999998</v>
      </c>
      <c r="K10" s="10">
        <f>IF('Res. Tank Design'!$F$9,'Res. Tank Design'!$F$9,'Res. Tank Design'!$D$9)</f>
        <v>6.0240999999999998</v>
      </c>
      <c r="L10" s="10">
        <f>IF('Res. Tank Design'!$F$9,'Res. Tank Design'!$F$9,'Res. Tank Design'!$D$9)</f>
        <v>6.0240999999999998</v>
      </c>
      <c r="M10" s="10">
        <f>IF('Res. Tank Design'!$F$9,'Res. Tank Design'!$F$9,'Res. Tank Design'!$D$9)</f>
        <v>6.0240999999999998</v>
      </c>
      <c r="N10" s="10">
        <f>IF('Res. Tank Design'!$F$9,'Res. Tank Design'!$F$9,'Res. Tank Design'!$D$9)</f>
        <v>6.0240999999999998</v>
      </c>
      <c r="O10" s="10">
        <f>IF('Res. Tank Design'!$F$9,'Res. Tank Design'!$F$9,'Res. Tank Design'!$D$9)</f>
        <v>6.0240999999999998</v>
      </c>
      <c r="P10" s="10">
        <f>IF('Res. Tank Design'!$F$9,'Res. Tank Design'!$F$9,'Res. Tank Design'!$D$9)</f>
        <v>6.0240999999999998</v>
      </c>
      <c r="Q10" s="10">
        <f>IF('Res. Tank Design'!$F$9,'Res. Tank Design'!$F$9,'Res. Tank Design'!$D$9)</f>
        <v>6.0240999999999998</v>
      </c>
      <c r="R10" s="10">
        <f>IF('Res. Tank Design'!$F$9,'Res. Tank Design'!$F$9,'Res. Tank Design'!$D$9)</f>
        <v>6.0240999999999998</v>
      </c>
      <c r="S10" s="10">
        <f>IF('Res. Tank Design'!$F$9,'Res. Tank Design'!$F$9,'Res. Tank Design'!$D$9)</f>
        <v>6.0240999999999998</v>
      </c>
      <c r="T10" s="10">
        <f>IF('Res. Tank Design'!$F$9,'Res. Tank Design'!$F$9,'Res. Tank Design'!$D$9)</f>
        <v>6.0240999999999998</v>
      </c>
      <c r="U10" s="10">
        <f>IF('Res. Tank Design'!$F$9,'Res. Tank Design'!$F$9,'Res. Tank Design'!$D$9)</f>
        <v>6.0240999999999998</v>
      </c>
      <c r="V10" s="10">
        <f>IF('Res. Tank Design'!$F$9,'Res. Tank Design'!$F$9,'Res. Tank Design'!$D$9)</f>
        <v>6.0240999999999998</v>
      </c>
      <c r="W10" s="10">
        <f>IF('Res. Tank Design'!$F$9,'Res. Tank Design'!$F$9,'Res. Tank Design'!$D$9)</f>
        <v>6.0240999999999998</v>
      </c>
      <c r="X10" s="10">
        <f>IF('Res. Tank Design'!$F$9,'Res. Tank Design'!$F$9,'Res. Tank Design'!$D$9)</f>
        <v>6.0240999999999998</v>
      </c>
      <c r="Y10" s="10">
        <f>IF('Res. Tank Design'!$F$9,'Res. Tank Design'!$F$9,'Res. Tank Design'!$D$9)</f>
        <v>6.0240999999999998</v>
      </c>
      <c r="Z10" s="10">
        <f>IF('Res. Tank Design'!$F$9,'Res. Tank Design'!$F$9,'Res. Tank Design'!$D$9)</f>
        <v>6.0240999999999998</v>
      </c>
      <c r="AA10" s="10">
        <f>IF('Res. Tank Design'!$F$9,'Res. Tank Design'!$F$9,'Res. Tank Design'!$D$9)</f>
        <v>6.0240999999999998</v>
      </c>
      <c r="AB10" s="10">
        <f>IF('Res. Tank Design'!$F$9,'Res. Tank Design'!$F$9,'Res. Tank Design'!$D$9)</f>
        <v>6.0240999999999998</v>
      </c>
      <c r="AC10" s="10">
        <f>IF('Res. Tank Design'!$F$9,'Res. Tank Design'!$F$9,'Res. Tank Design'!$D$9)</f>
        <v>6.0240999999999998</v>
      </c>
      <c r="AD10" s="10">
        <f>IF('Res. Tank Design'!$F$9,'Res. Tank Design'!$F$9,'Res. Tank Design'!$D$9)</f>
        <v>6.0240999999999998</v>
      </c>
      <c r="AE10" s="10">
        <f>IF('Res. Tank Design'!$F$9,'Res. Tank Design'!$F$9,'Res. Tank Design'!$D$9)</f>
        <v>6.0240999999999998</v>
      </c>
      <c r="AF10" s="10">
        <f>IF('Res. Tank Design'!$F$9,'Res. Tank Design'!$F$9,'Res. Tank Design'!$D$9)</f>
        <v>6.0240999999999998</v>
      </c>
      <c r="AG10" s="10">
        <f>IF('Res. Tank Design'!$F$9,'Res. Tank Design'!$F$9,'Res. Tank Design'!$D$9)</f>
        <v>6.0240999999999998</v>
      </c>
      <c r="AH10" s="10">
        <f>IF('Res. Tank Design'!$F$9,'Res. Tank Design'!$F$9,'Res. Tank Design'!$D$9)</f>
        <v>6.0240999999999998</v>
      </c>
      <c r="AI10" s="10">
        <f>IF('Res. Tank Design'!$F$9,'Res. Tank Design'!$F$9,'Res. Tank Design'!$D$9)</f>
        <v>6.0240999999999998</v>
      </c>
      <c r="AJ10" s="10">
        <f>IF('Res. Tank Design'!$F$9,'Res. Tank Design'!$F$9,'Res. Tank Design'!$D$9)</f>
        <v>6.0240999999999998</v>
      </c>
      <c r="AK10" s="10">
        <f>IF('Res. Tank Design'!$F$9,'Res. Tank Design'!$F$9,'Res. Tank Design'!$D$9)</f>
        <v>6.0240999999999998</v>
      </c>
      <c r="AL10" s="10">
        <f>IF('Res. Tank Design'!$F$9,'Res. Tank Design'!$F$9,'Res. Tank Design'!$D$9)</f>
        <v>6.0240999999999998</v>
      </c>
      <c r="AM10" s="10">
        <f>IF('Res. Tank Design'!$F$9,'Res. Tank Design'!$F$9,'Res. Tank Design'!$D$9)</f>
        <v>6.0240999999999998</v>
      </c>
      <c r="AN10" s="10">
        <f>IF('Res. Tank Design'!$F$9,'Res. Tank Design'!$F$9,'Res. Tank Design'!$D$9)</f>
        <v>6.0240999999999998</v>
      </c>
      <c r="AO10" s="10">
        <f>IF('Res. Tank Design'!$F$9,'Res. Tank Design'!$F$9,'Res. Tank Design'!$D$9)</f>
        <v>6.0240999999999998</v>
      </c>
      <c r="AP10" s="10">
        <f>IF('Res. Tank Design'!$F$9,'Res. Tank Design'!$F$9,'Res. Tank Design'!$D$9)</f>
        <v>6.0240999999999998</v>
      </c>
      <c r="AQ10" s="10">
        <f>IF('Res. Tank Design'!$F$9,'Res. Tank Design'!$F$9,'Res. Tank Design'!$D$9)</f>
        <v>6.0240999999999998</v>
      </c>
      <c r="AR10" s="10">
        <f>IF('Res. Tank Design'!$F$9,'Res. Tank Design'!$F$9,'Res. Tank Design'!$D$9)</f>
        <v>6.0240999999999998</v>
      </c>
      <c r="AS10" s="10">
        <f>IF('Res. Tank Design'!$F$9,'Res. Tank Design'!$F$9,'Res. Tank Design'!$D$9)</f>
        <v>6.0240999999999998</v>
      </c>
      <c r="AT10" s="10">
        <f>IF('Res. Tank Design'!$F$9,'Res. Tank Design'!$F$9,'Res. Tank Design'!$D$9)</f>
        <v>6.0240999999999998</v>
      </c>
      <c r="AU10" s="10">
        <f>IF('Res. Tank Design'!$F$9,'Res. Tank Design'!$F$9,'Res. Tank Design'!$D$9)</f>
        <v>6.0240999999999998</v>
      </c>
      <c r="AV10" s="10">
        <f>IF('Res. Tank Design'!$F$9,'Res. Tank Design'!$F$9,'Res. Tank Design'!$D$9)</f>
        <v>6.0240999999999998</v>
      </c>
      <c r="AW10" s="10">
        <f>IF('Res. Tank Design'!$F$9,'Res. Tank Design'!$F$9,'Res. Tank Design'!$D$9)</f>
        <v>6.0240999999999998</v>
      </c>
      <c r="AX10" s="10">
        <f>IF('Res. Tank Design'!$F$9,'Res. Tank Design'!$F$9,'Res. Tank Design'!$D$9)</f>
        <v>6.0240999999999998</v>
      </c>
      <c r="AY10" s="10">
        <f>IF('Res. Tank Design'!$F$9,'Res. Tank Design'!$F$9,'Res. Tank Design'!$D$9)</f>
        <v>6.0240999999999998</v>
      </c>
      <c r="AZ10" s="10">
        <f>IF('Res. Tank Design'!$F$9,'Res. Tank Design'!$F$9,'Res. Tank Design'!$D$9)</f>
        <v>6.0240999999999998</v>
      </c>
      <c r="BA10" s="10">
        <f>IF('Res. Tank Design'!$F$9,'Res. Tank Design'!$F$9,'Res. Tank Design'!$D$9)</f>
        <v>6.0240999999999998</v>
      </c>
      <c r="BB10" s="10">
        <f>IF('Res. Tank Design'!$F$9,'Res. Tank Design'!$F$9,'Res. Tank Design'!$D$9)</f>
        <v>6.0240999999999998</v>
      </c>
      <c r="BC10" s="10">
        <f>IF('Res. Tank Design'!$F$9,'Res. Tank Design'!$F$9,'Res. Tank Design'!$D$9)</f>
        <v>6.0240999999999998</v>
      </c>
      <c r="BD10" s="10">
        <f>IF('Res. Tank Design'!$F$9,'Res. Tank Design'!$F$9,'Res. Tank Design'!$D$9)</f>
        <v>6.0240999999999998</v>
      </c>
      <c r="BE10" s="10">
        <f>IF('Res. Tank Design'!$F$9,'Res. Tank Design'!$F$9,'Res. Tank Design'!$D$9)</f>
        <v>6.0240999999999998</v>
      </c>
      <c r="BF10" s="10">
        <f>IF('Res. Tank Design'!$F$9,'Res. Tank Design'!$F$9,'Res. Tank Design'!$D$9)</f>
        <v>6.0240999999999998</v>
      </c>
      <c r="BG10" s="10">
        <f>IF('Res. Tank Design'!$F$9,'Res. Tank Design'!$F$9,'Res. Tank Design'!$D$9)</f>
        <v>6.0240999999999998</v>
      </c>
      <c r="BH10" s="10">
        <f>IF('Res. Tank Design'!$F$9,'Res. Tank Design'!$F$9,'Res. Tank Design'!$D$9)</f>
        <v>6.0240999999999998</v>
      </c>
      <c r="BI10" s="10">
        <f>IF('Res. Tank Design'!$F$9,'Res. Tank Design'!$F$9,'Res. Tank Design'!$D$9)</f>
        <v>6.0240999999999998</v>
      </c>
      <c r="BJ10" s="10">
        <f>IF('Res. Tank Design'!$F$9,'Res. Tank Design'!$F$9,'Res. Tank Design'!$D$9)</f>
        <v>6.0240999999999998</v>
      </c>
      <c r="BK10" s="10">
        <f>IF('Res. Tank Design'!$F$9,'Res. Tank Design'!$F$9,'Res. Tank Design'!$D$9)</f>
        <v>6.0240999999999998</v>
      </c>
      <c r="BL10" s="10">
        <f>IF('Res. Tank Design'!$F$9,'Res. Tank Design'!$F$9,'Res. Tank Design'!$D$9)</f>
        <v>6.0240999999999998</v>
      </c>
      <c r="BM10" s="10">
        <f>IF('Res. Tank Design'!$F$9,'Res. Tank Design'!$F$9,'Res. Tank Design'!$D$9)</f>
        <v>6.0240999999999998</v>
      </c>
      <c r="BN10" s="10">
        <f>IF('Res. Tank Design'!$F$9,'Res. Tank Design'!$F$9,'Res. Tank Design'!$D$9)</f>
        <v>6.0240999999999998</v>
      </c>
      <c r="BO10" s="10">
        <f>IF('Res. Tank Design'!$F$9,'Res. Tank Design'!$F$9,'Res. Tank Design'!$D$9)</f>
        <v>6.0240999999999998</v>
      </c>
      <c r="BP10" s="10">
        <f>IF('Res. Tank Design'!$F$9,'Res. Tank Design'!$F$9,'Res. Tank Design'!$D$9)</f>
        <v>6.0240999999999998</v>
      </c>
      <c r="BQ10" s="10">
        <f>IF('Res. Tank Design'!$F$9,'Res. Tank Design'!$F$9,'Res. Tank Design'!$D$9)</f>
        <v>6.0240999999999998</v>
      </c>
      <c r="BR10" s="10">
        <f>IF('Res. Tank Design'!$F$9,'Res. Tank Design'!$F$9,'Res. Tank Design'!$D$9)</f>
        <v>6.0240999999999998</v>
      </c>
      <c r="BS10" s="10">
        <f>IF('Res. Tank Design'!$F$9,'Res. Tank Design'!$F$9,'Res. Tank Design'!$D$9)</f>
        <v>6.0240999999999998</v>
      </c>
      <c r="BT10" s="10">
        <f>IF('Res. Tank Design'!$F$9,'Res. Tank Design'!$F$9,'Res. Tank Design'!$D$9)</f>
        <v>6.0240999999999998</v>
      </c>
      <c r="BU10" s="10">
        <f>IF('Res. Tank Design'!$F$9,'Res. Tank Design'!$F$9,'Res. Tank Design'!$D$9)</f>
        <v>6.0240999999999998</v>
      </c>
      <c r="BV10" s="10">
        <f>IF('Res. Tank Design'!$F$9,'Res. Tank Design'!$F$9,'Res. Tank Design'!$D$9)</f>
        <v>6.0240999999999998</v>
      </c>
      <c r="BW10" s="10">
        <f>IF('Res. Tank Design'!$F$9,'Res. Tank Design'!$F$9,'Res. Tank Design'!$D$9)</f>
        <v>6.0240999999999998</v>
      </c>
      <c r="BX10" s="10">
        <f>IF('Res. Tank Design'!$F$9,'Res. Tank Design'!$F$9,'Res. Tank Design'!$D$9)</f>
        <v>6.0240999999999998</v>
      </c>
      <c r="BY10" s="10">
        <f>IF('Res. Tank Design'!$F$9,'Res. Tank Design'!$F$9,'Res. Tank Design'!$D$9)</f>
        <v>6.0240999999999998</v>
      </c>
      <c r="BZ10" s="10">
        <f>IF('Res. Tank Design'!$F$9,'Res. Tank Design'!$F$9,'Res. Tank Design'!$D$9)</f>
        <v>6.0240999999999998</v>
      </c>
      <c r="CA10" s="10">
        <f>IF('Res. Tank Design'!$F$9,'Res. Tank Design'!$F$9,'Res. Tank Design'!$D$9)</f>
        <v>6.0240999999999998</v>
      </c>
      <c r="CB10" s="10">
        <f>IF('Res. Tank Design'!$F$9,'Res. Tank Design'!$F$9,'Res. Tank Design'!$D$9)</f>
        <v>6.0240999999999998</v>
      </c>
      <c r="CC10" s="10">
        <f>IF('Res. Tank Design'!$F$9,'Res. Tank Design'!$F$9,'Res. Tank Design'!$D$9)</f>
        <v>6.0240999999999998</v>
      </c>
      <c r="CD10" s="10">
        <f>IF('Res. Tank Design'!$F$9,'Res. Tank Design'!$F$9,'Res. Tank Design'!$D$9)</f>
        <v>6.0240999999999998</v>
      </c>
      <c r="CE10" s="10">
        <f>IF('Res. Tank Design'!$F$9,'Res. Tank Design'!$F$9,'Res. Tank Design'!$D$9)</f>
        <v>6.0240999999999998</v>
      </c>
      <c r="CF10" s="10">
        <f>IF('Res. Tank Design'!$F$9,'Res. Tank Design'!$F$9,'Res. Tank Design'!$D$9)</f>
        <v>6.0240999999999998</v>
      </c>
      <c r="CG10" s="10">
        <f>IF('Res. Tank Design'!$F$9,'Res. Tank Design'!$F$9,'Res. Tank Design'!$D$9)</f>
        <v>6.0240999999999998</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12.314595699098176</v>
      </c>
      <c r="D16" s="10">
        <f t="shared" si="9"/>
        <v>6.1882131396189735</v>
      </c>
      <c r="E16" s="10">
        <f t="shared" si="9"/>
        <v>4.1601492404009592</v>
      </c>
      <c r="F16" s="10">
        <f t="shared" si="9"/>
        <v>3.1570371235643671</v>
      </c>
      <c r="G16" s="10">
        <f t="shared" si="9"/>
        <v>2.564335990203189</v>
      </c>
      <c r="H16" s="10">
        <f t="shared" si="9"/>
        <v>2.1773214400135767</v>
      </c>
      <c r="I16" s="10">
        <f t="shared" si="9"/>
        <v>1.9083738115555697</v>
      </c>
      <c r="J16" s="10">
        <f t="shared" si="9"/>
        <v>1.713804592812058</v>
      </c>
      <c r="K16" s="10">
        <f t="shared" si="9"/>
        <v>1.5694701001015783</v>
      </c>
      <c r="L16" s="10">
        <f t="shared" si="9"/>
        <v>1.4610226442281593</v>
      </c>
      <c r="M16" s="10">
        <f t="shared" si="9"/>
        <v>1.3794860975795318</v>
      </c>
      <c r="N16" s="10">
        <f t="shared" si="9"/>
        <v>1.3190521532575903</v>
      </c>
      <c r="O16" s="10">
        <f t="shared" si="9"/>
        <v>1.2759044361529739</v>
      </c>
      <c r="P16" s="10">
        <f t="shared" si="9"/>
        <v>1.2475605054757108</v>
      </c>
      <c r="Q16" s="10">
        <f t="shared" si="9"/>
        <v>1.2324955812066727</v>
      </c>
      <c r="R16" s="10">
        <f t="shared" si="9"/>
        <v>1.229932602786288</v>
      </c>
      <c r="S16" s="10">
        <f t="shared" si="9"/>
        <v>1.2397416448652263</v>
      </c>
      <c r="T16" s="10">
        <f t="shared" si="9"/>
        <v>1.2624235293940715</v>
      </c>
      <c r="U16" s="10">
        <f t="shared" si="9"/>
        <v>1.2991736757308736</v>
      </c>
      <c r="V16" s="10">
        <f t="shared" si="9"/>
        <v>1.3520418369126121</v>
      </c>
      <c r="W16" s="10">
        <f t="shared" si="9"/>
        <v>1.4242294057096239</v>
      </c>
      <c r="X16" s="10">
        <f t="shared" si="9"/>
        <v>1.5206105524492097</v>
      </c>
      <c r="Y16" s="10">
        <f t="shared" si="9"/>
        <v>1.6486516966626164</v>
      </c>
      <c r="Z16" s="10">
        <f t="shared" si="9"/>
        <v>1.8200964888451183</v>
      </c>
      <c r="AA16" s="10">
        <f t="shared" si="9"/>
        <v>2.054244588285723</v>
      </c>
      <c r="AB16" s="10">
        <f t="shared" si="9"/>
        <v>2.3848785482788055</v>
      </c>
      <c r="AC16" s="10">
        <f t="shared" si="9"/>
        <v>2.8766168463350859</v>
      </c>
      <c r="AD16" s="10">
        <f t="shared" si="9"/>
        <v>3.6700049320942654</v>
      </c>
      <c r="AE16" s="10">
        <f t="shared" si="9"/>
        <v>5.1386065210896987</v>
      </c>
      <c r="AF16" s="10">
        <f t="shared" si="9"/>
        <v>8.7117920425837507</v>
      </c>
      <c r="AG16" s="10">
        <f t="shared" si="9"/>
        <v>23.839706895023404</v>
      </c>
      <c r="AH16" s="10">
        <f t="shared" si="9"/>
        <v>29.566824848875235</v>
      </c>
    </row>
    <row r="17" spans="2:85" ht="16.5" customHeight="1">
      <c r="B17" s="10" t="s">
        <v>781</v>
      </c>
      <c r="C17" s="10">
        <f t="shared" ref="C17:AH17" si="10">2*C$10*(C$5+C$11*C$6)/(SQRT(2)*C9*SIN(C$4))</f>
        <v>6.4193105239979849</v>
      </c>
      <c r="D17" s="10">
        <f t="shared" si="10"/>
        <v>3.225770679163082</v>
      </c>
      <c r="E17" s="10">
        <f t="shared" si="10"/>
        <v>2.1685884338260322</v>
      </c>
      <c r="F17" s="10">
        <f t="shared" si="10"/>
        <v>1.6456895644112128</v>
      </c>
      <c r="G17" s="10">
        <f t="shared" si="10"/>
        <v>1.3367283353186838</v>
      </c>
      <c r="H17" s="10">
        <f t="shared" si="10"/>
        <v>1.1349867080921838</v>
      </c>
      <c r="I17" s="10">
        <f t="shared" si="10"/>
        <v>0.99479060389598839</v>
      </c>
      <c r="J17" s="10">
        <f t="shared" si="10"/>
        <v>0.89336622391266851</v>
      </c>
      <c r="K17" s="10">
        <f t="shared" si="10"/>
        <v>0.81812803090401409</v>
      </c>
      <c r="L17" s="10">
        <f t="shared" si="10"/>
        <v>0.76159691028914678</v>
      </c>
      <c r="M17" s="10">
        <f t="shared" si="10"/>
        <v>0.71909381682337292</v>
      </c>
      <c r="N17" s="10">
        <f t="shared" si="10"/>
        <v>0.68759101605980777</v>
      </c>
      <c r="O17" s="10">
        <f t="shared" si="10"/>
        <v>0.66509912097335866</v>
      </c>
      <c r="P17" s="10">
        <f t="shared" si="10"/>
        <v>0.65032409327989182</v>
      </c>
      <c r="Q17" s="10">
        <f t="shared" si="10"/>
        <v>0.64247110084177617</v>
      </c>
      <c r="R17" s="10">
        <f t="shared" si="10"/>
        <v>0.64113508017583098</v>
      </c>
      <c r="S17" s="10">
        <f t="shared" si="10"/>
        <v>0.6462483042382563</v>
      </c>
      <c r="T17" s="10">
        <f t="shared" si="10"/>
        <v>0.65807183979052675</v>
      </c>
      <c r="U17" s="10">
        <f t="shared" si="10"/>
        <v>0.67722883096609365</v>
      </c>
      <c r="V17" s="10">
        <f t="shared" si="10"/>
        <v>0.70478776605019144</v>
      </c>
      <c r="W17" s="10">
        <f t="shared" si="10"/>
        <v>0.74241745616778265</v>
      </c>
      <c r="X17" s="10">
        <f t="shared" si="10"/>
        <v>0.79265869223416241</v>
      </c>
      <c r="Y17" s="10">
        <f t="shared" si="10"/>
        <v>0.85940354400498098</v>
      </c>
      <c r="Z17" s="10">
        <f t="shared" si="10"/>
        <v>0.94877370163202979</v>
      </c>
      <c r="AA17" s="10">
        <f t="shared" si="10"/>
        <v>1.0708296258085153</v>
      </c>
      <c r="AB17" s="10">
        <f t="shared" si="10"/>
        <v>1.2431813709112922</v>
      </c>
      <c r="AC17" s="10">
        <f t="shared" si="10"/>
        <v>1.4995130369193534</v>
      </c>
      <c r="AD17" s="10">
        <f t="shared" si="10"/>
        <v>1.9130876773682874</v>
      </c>
      <c r="AE17" s="10">
        <f t="shared" si="10"/>
        <v>2.6786353141850556</v>
      </c>
      <c r="AF17" s="10">
        <f t="shared" si="10"/>
        <v>4.5412532987936585</v>
      </c>
      <c r="AG17" s="10">
        <f t="shared" si="10"/>
        <v>12.427081253788796</v>
      </c>
      <c r="AH17" s="10">
        <f t="shared" si="10"/>
        <v>15.412493804200919</v>
      </c>
    </row>
    <row r="18" spans="2:85" ht="16.5" customHeight="1">
      <c r="B18" s="10" t="s">
        <v>782</v>
      </c>
      <c r="C18" s="10">
        <f t="shared" ref="C18:AH18" si="11">2*C10*(C5+C11*C6)/(SQRT(2)*C9*SIN(PI()/2))</f>
        <v>0.64086170212765958</v>
      </c>
      <c r="D18" s="10">
        <f t="shared" si="11"/>
        <v>0.64086170212765958</v>
      </c>
      <c r="E18" s="10">
        <f t="shared" si="11"/>
        <v>0.64086170212765958</v>
      </c>
      <c r="F18" s="10">
        <f t="shared" si="11"/>
        <v>0.64086170212765958</v>
      </c>
      <c r="G18" s="10">
        <f t="shared" si="11"/>
        <v>0.64086170212765958</v>
      </c>
      <c r="H18" s="10">
        <f t="shared" si="11"/>
        <v>0.64086170212765958</v>
      </c>
      <c r="I18" s="10">
        <f t="shared" si="11"/>
        <v>0.64086170212765958</v>
      </c>
      <c r="J18" s="10">
        <f t="shared" si="11"/>
        <v>0.64086170212765958</v>
      </c>
      <c r="K18" s="10">
        <f t="shared" si="11"/>
        <v>0.64086170212765958</v>
      </c>
      <c r="L18" s="10">
        <f t="shared" si="11"/>
        <v>0.64086170212765958</v>
      </c>
      <c r="M18" s="10">
        <f t="shared" si="11"/>
        <v>0.64086170212765958</v>
      </c>
      <c r="N18" s="10">
        <f t="shared" si="11"/>
        <v>0.64086170212765958</v>
      </c>
      <c r="O18" s="10">
        <f t="shared" si="11"/>
        <v>0.64086170212765958</v>
      </c>
      <c r="P18" s="10">
        <f t="shared" si="11"/>
        <v>0.64086170212765958</v>
      </c>
      <c r="Q18" s="10">
        <f t="shared" si="11"/>
        <v>0.64086170212765958</v>
      </c>
      <c r="R18" s="10">
        <f t="shared" si="11"/>
        <v>0.64086170212765958</v>
      </c>
      <c r="S18" s="10">
        <f t="shared" si="11"/>
        <v>0.64086170212765958</v>
      </c>
      <c r="T18" s="10">
        <f t="shared" si="11"/>
        <v>0.64086170212765958</v>
      </c>
      <c r="U18" s="10">
        <f t="shared" si="11"/>
        <v>0.64086170212765958</v>
      </c>
      <c r="V18" s="10">
        <f t="shared" si="11"/>
        <v>0.64086170212765958</v>
      </c>
      <c r="W18" s="10">
        <f t="shared" si="11"/>
        <v>0.64086170212765958</v>
      </c>
      <c r="X18" s="10">
        <f t="shared" si="11"/>
        <v>0.64086170212765958</v>
      </c>
      <c r="Y18" s="10">
        <f t="shared" si="11"/>
        <v>0.64086170212765958</v>
      </c>
      <c r="Z18" s="10">
        <f t="shared" si="11"/>
        <v>0.64086170212765958</v>
      </c>
      <c r="AA18" s="10">
        <f t="shared" si="11"/>
        <v>0.64086170212765958</v>
      </c>
      <c r="AB18" s="10">
        <f t="shared" si="11"/>
        <v>0.64086170212765958</v>
      </c>
      <c r="AC18" s="10">
        <f t="shared" si="11"/>
        <v>0.64086170212765958</v>
      </c>
      <c r="AD18" s="10">
        <f t="shared" si="11"/>
        <v>0.64086170212765958</v>
      </c>
      <c r="AE18" s="10">
        <f t="shared" si="11"/>
        <v>0.64086170212765958</v>
      </c>
      <c r="AF18" s="10">
        <f t="shared" si="11"/>
        <v>0.64086170212765958</v>
      </c>
      <c r="AG18" s="10">
        <f t="shared" si="11"/>
        <v>0.64086170212765958</v>
      </c>
      <c r="AH18" s="10">
        <f t="shared" si="11"/>
        <v>0.64086170212765958</v>
      </c>
      <c r="AI18" s="10">
        <f t="shared" ref="AI18:BN18" si="12">2*AI10*(AI5+AI11*AI6)/(SQRT(2)*AI9*SIN(PI()/2))</f>
        <v>0.64086170212765958</v>
      </c>
      <c r="AJ18" s="10">
        <f t="shared" si="12"/>
        <v>0.64086170212765958</v>
      </c>
      <c r="AK18" s="10">
        <f t="shared" si="12"/>
        <v>0.64086170212765958</v>
      </c>
      <c r="AL18" s="10">
        <f t="shared" si="12"/>
        <v>0.64086170212765958</v>
      </c>
      <c r="AM18" s="10">
        <f t="shared" si="12"/>
        <v>0.64086170212765958</v>
      </c>
      <c r="AN18" s="10">
        <f t="shared" si="12"/>
        <v>0.64086170212765958</v>
      </c>
      <c r="AO18" s="10">
        <f t="shared" si="12"/>
        <v>0.64086170212765958</v>
      </c>
      <c r="AP18" s="10">
        <f t="shared" si="12"/>
        <v>0.64086170212765958</v>
      </c>
      <c r="AQ18" s="10">
        <f t="shared" si="12"/>
        <v>0.64086170212765958</v>
      </c>
      <c r="AR18" s="10">
        <f t="shared" si="12"/>
        <v>0.64086170212765958</v>
      </c>
      <c r="AS18" s="10">
        <f t="shared" si="12"/>
        <v>0.64086170212765958</v>
      </c>
      <c r="AT18" s="10">
        <f t="shared" si="12"/>
        <v>0.64086170212765958</v>
      </c>
      <c r="AU18" s="10">
        <f t="shared" si="12"/>
        <v>0.64086170212765958</v>
      </c>
      <c r="AV18" s="10">
        <f t="shared" si="12"/>
        <v>0.64086170212765958</v>
      </c>
      <c r="AW18" s="10">
        <f t="shared" si="12"/>
        <v>0.64086170212765958</v>
      </c>
      <c r="AX18" s="10">
        <f t="shared" si="12"/>
        <v>0.64086170212765958</v>
      </c>
      <c r="AY18" s="10">
        <f t="shared" si="12"/>
        <v>0.64086170212765958</v>
      </c>
      <c r="AZ18" s="10">
        <f t="shared" si="12"/>
        <v>0.64086170212765958</v>
      </c>
      <c r="BA18" s="10">
        <f t="shared" si="12"/>
        <v>0.64086170212765958</v>
      </c>
      <c r="BB18" s="10">
        <f t="shared" si="12"/>
        <v>0.64086170212765958</v>
      </c>
      <c r="BC18" s="10">
        <f t="shared" si="12"/>
        <v>0.64086170212765958</v>
      </c>
      <c r="BD18" s="10">
        <f t="shared" si="12"/>
        <v>0.64086170212765958</v>
      </c>
      <c r="BE18" s="10">
        <f t="shared" si="12"/>
        <v>0.64086170212765958</v>
      </c>
      <c r="BF18" s="10">
        <f t="shared" si="12"/>
        <v>0.64086170212765958</v>
      </c>
      <c r="BG18" s="10">
        <f t="shared" si="12"/>
        <v>0.64086170212765958</v>
      </c>
      <c r="BH18" s="10">
        <f t="shared" si="12"/>
        <v>0.64086170212765958</v>
      </c>
      <c r="BI18" s="10">
        <f t="shared" si="12"/>
        <v>0.64086170212765958</v>
      </c>
      <c r="BJ18" s="10">
        <f t="shared" si="12"/>
        <v>0.64086170212765958</v>
      </c>
      <c r="BK18" s="10">
        <f t="shared" si="12"/>
        <v>0.64086170212765958</v>
      </c>
      <c r="BL18" s="10">
        <f t="shared" si="12"/>
        <v>0.64086170212765958</v>
      </c>
      <c r="BM18" s="10">
        <f t="shared" si="12"/>
        <v>0.64086170212765958</v>
      </c>
      <c r="BN18" s="10">
        <f t="shared" si="12"/>
        <v>0.64086170212765958</v>
      </c>
      <c r="BO18" s="10">
        <f t="shared" ref="BO18:CG18" si="13">2*BO10*(BO5+BO11*BO6)/(SQRT(2)*BO9*SIN(PI()/2))</f>
        <v>0.64086170212765958</v>
      </c>
      <c r="BP18" s="10">
        <f t="shared" si="13"/>
        <v>0.64086170212765958</v>
      </c>
      <c r="BQ18" s="10">
        <f t="shared" si="13"/>
        <v>0.64086170212765958</v>
      </c>
      <c r="BR18" s="10">
        <f t="shared" si="13"/>
        <v>0.64086170212765958</v>
      </c>
      <c r="BS18" s="10">
        <f t="shared" si="13"/>
        <v>0.64086170212765958</v>
      </c>
      <c r="BT18" s="10">
        <f t="shared" si="13"/>
        <v>0.64086170212765958</v>
      </c>
      <c r="BU18" s="10">
        <f t="shared" si="13"/>
        <v>0.64086170212765958</v>
      </c>
      <c r="BV18" s="10">
        <f t="shared" si="13"/>
        <v>0.64086170212765958</v>
      </c>
      <c r="BW18" s="10">
        <f t="shared" si="13"/>
        <v>0.64086170212765958</v>
      </c>
      <c r="BX18" s="10">
        <f t="shared" si="13"/>
        <v>0.64086170212765958</v>
      </c>
      <c r="BY18" s="10">
        <f t="shared" si="13"/>
        <v>0.64086170212765958</v>
      </c>
      <c r="BZ18" s="10">
        <f t="shared" si="13"/>
        <v>0.64086170212765958</v>
      </c>
      <c r="CA18" s="10">
        <f t="shared" si="13"/>
        <v>0.64086170212765958</v>
      </c>
      <c r="CB18" s="10">
        <f t="shared" si="13"/>
        <v>0.64086170212765958</v>
      </c>
      <c r="CC18" s="10">
        <f t="shared" si="13"/>
        <v>0.64086170212765958</v>
      </c>
      <c r="CD18" s="10">
        <f t="shared" si="13"/>
        <v>0.64086170212765958</v>
      </c>
      <c r="CE18" s="10">
        <f t="shared" si="13"/>
        <v>0.64086170212765958</v>
      </c>
      <c r="CF18" s="10">
        <f t="shared" si="13"/>
        <v>0.64086170212765958</v>
      </c>
      <c r="CG18" s="10">
        <f t="shared" si="13"/>
        <v>0.64086170212765958</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0.55000000000000004</v>
      </c>
      <c r="D23" s="163">
        <f>'Res. Tank Design'!$D$50</f>
        <v>0.55000000000000004</v>
      </c>
      <c r="E23" s="163">
        <f>'Res. Tank Design'!$D$50</f>
        <v>0.55000000000000004</v>
      </c>
      <c r="F23" s="163">
        <f>'Res. Tank Design'!$D$50</f>
        <v>0.55000000000000004</v>
      </c>
      <c r="G23" s="163">
        <f>'Res. Tank Design'!$D$50</f>
        <v>0.55000000000000004</v>
      </c>
      <c r="H23" s="163">
        <f>'Res. Tank Design'!$D$50</f>
        <v>0.55000000000000004</v>
      </c>
      <c r="I23" s="163">
        <f>'Res. Tank Design'!$D$50</f>
        <v>0.55000000000000004</v>
      </c>
      <c r="J23" s="163">
        <f>'Res. Tank Design'!$D$50</f>
        <v>0.55000000000000004</v>
      </c>
      <c r="K23" s="163">
        <f>'Res. Tank Design'!$D$50</f>
        <v>0.55000000000000004</v>
      </c>
      <c r="L23" s="163">
        <f>'Res. Tank Design'!$D$50</f>
        <v>0.55000000000000004</v>
      </c>
      <c r="M23" s="163">
        <f>'Res. Tank Design'!$D$50</f>
        <v>0.55000000000000004</v>
      </c>
      <c r="N23" s="163">
        <f>'Res. Tank Design'!$D$50</f>
        <v>0.55000000000000004</v>
      </c>
      <c r="O23" s="163">
        <f>'Res. Tank Design'!$D$50</f>
        <v>0.55000000000000004</v>
      </c>
      <c r="P23" s="163">
        <f>'Res. Tank Design'!$D$50</f>
        <v>0.55000000000000004</v>
      </c>
      <c r="Q23" s="163">
        <f>'Res. Tank Design'!$D$50</f>
        <v>0.55000000000000004</v>
      </c>
      <c r="R23" s="163">
        <f>'Res. Tank Design'!$D$50</f>
        <v>0.55000000000000004</v>
      </c>
      <c r="S23" s="163">
        <f>'Res. Tank Design'!$D$50</f>
        <v>0.55000000000000004</v>
      </c>
      <c r="T23" s="163">
        <f>'Res. Tank Design'!$D$50</f>
        <v>0.55000000000000004</v>
      </c>
      <c r="U23" s="163">
        <f>'Res. Tank Design'!$D$50</f>
        <v>0.55000000000000004</v>
      </c>
      <c r="V23" s="163">
        <f>'Res. Tank Design'!$D$50</f>
        <v>0.55000000000000004</v>
      </c>
      <c r="W23" s="163">
        <f>'Res. Tank Design'!$D$50</f>
        <v>0.55000000000000004</v>
      </c>
      <c r="X23" s="163">
        <f>'Res. Tank Design'!$D$50</f>
        <v>0.55000000000000004</v>
      </c>
      <c r="Y23" s="163">
        <f>'Res. Tank Design'!$D$50</f>
        <v>0.55000000000000004</v>
      </c>
      <c r="Z23" s="163">
        <f>'Res. Tank Design'!$D$50</f>
        <v>0.55000000000000004</v>
      </c>
      <c r="AA23" s="163">
        <f>'Res. Tank Design'!$D$50</f>
        <v>0.55000000000000004</v>
      </c>
      <c r="AB23" s="163">
        <f>'Res. Tank Design'!$D$50</f>
        <v>0.55000000000000004</v>
      </c>
      <c r="AC23" s="163">
        <f>'Res. Tank Design'!$D$50</f>
        <v>0.55000000000000004</v>
      </c>
      <c r="AD23" s="163">
        <f>'Res. Tank Design'!$D$50</f>
        <v>0.55000000000000004</v>
      </c>
      <c r="AE23" s="163">
        <f>'Res. Tank Design'!$D$50</f>
        <v>0.55000000000000004</v>
      </c>
      <c r="AF23" s="163">
        <f>'Res. Tank Design'!$D$50</f>
        <v>0.55000000000000004</v>
      </c>
      <c r="AG23" s="163">
        <f>'Res. Tank Design'!$D$50</f>
        <v>0.55000000000000004</v>
      </c>
      <c r="AH23" s="163">
        <f>'Res. Tank Design'!$D$50</f>
        <v>0.55000000000000004</v>
      </c>
      <c r="AI23" s="163">
        <f>'Res. Tank Design'!$D$50</f>
        <v>0.55000000000000004</v>
      </c>
      <c r="AJ23" s="163">
        <f>'Res. Tank Design'!$D$50</f>
        <v>0.55000000000000004</v>
      </c>
      <c r="AK23" s="163">
        <f>'Res. Tank Design'!$D$50</f>
        <v>0.55000000000000004</v>
      </c>
      <c r="AL23" s="163">
        <f>'Res. Tank Design'!$D$50</f>
        <v>0.55000000000000004</v>
      </c>
      <c r="AM23" s="163">
        <f>'Res. Tank Design'!$D$50</f>
        <v>0.55000000000000004</v>
      </c>
      <c r="AN23" s="163">
        <f>'Res. Tank Design'!$D$50</f>
        <v>0.55000000000000004</v>
      </c>
      <c r="AO23" s="163">
        <f>'Res. Tank Design'!$D$50</f>
        <v>0.55000000000000004</v>
      </c>
      <c r="AP23" s="163">
        <f>'Res. Tank Design'!$D$50</f>
        <v>0.55000000000000004</v>
      </c>
      <c r="AQ23" s="163">
        <f>'Res. Tank Design'!$D$50</f>
        <v>0.55000000000000004</v>
      </c>
      <c r="AR23" s="163">
        <f>'Res. Tank Design'!$D$50</f>
        <v>0.55000000000000004</v>
      </c>
      <c r="AS23" s="163">
        <f>'Res. Tank Design'!$D$50</f>
        <v>0.55000000000000004</v>
      </c>
      <c r="AT23" s="163">
        <f>'Res. Tank Design'!$D$50</f>
        <v>0.55000000000000004</v>
      </c>
      <c r="AU23" s="163">
        <f>'Res. Tank Design'!$D$50</f>
        <v>0.55000000000000004</v>
      </c>
      <c r="AV23" s="163">
        <f>'Res. Tank Design'!$D$50</f>
        <v>0.55000000000000004</v>
      </c>
      <c r="AW23" s="163">
        <f>'Res. Tank Design'!$D$50</f>
        <v>0.55000000000000004</v>
      </c>
      <c r="AX23" s="163">
        <f>'Res. Tank Design'!$D$50</f>
        <v>0.55000000000000004</v>
      </c>
      <c r="AY23" s="163">
        <f>'Res. Tank Design'!$D$50</f>
        <v>0.55000000000000004</v>
      </c>
      <c r="AZ23" s="163">
        <f>'Res. Tank Design'!$D$50</f>
        <v>0.55000000000000004</v>
      </c>
      <c r="BA23" s="163">
        <f>'Res. Tank Design'!$D$50</f>
        <v>0.55000000000000004</v>
      </c>
      <c r="BB23" s="163">
        <f>'Res. Tank Design'!$D$50</f>
        <v>0.55000000000000004</v>
      </c>
      <c r="BC23" s="163">
        <f>'Res. Tank Design'!$D$50</f>
        <v>0.55000000000000004</v>
      </c>
      <c r="BD23" s="163">
        <f>'Res. Tank Design'!$D$50</f>
        <v>0.55000000000000004</v>
      </c>
      <c r="BE23" s="163">
        <f>'Res. Tank Design'!$D$50</f>
        <v>0.55000000000000004</v>
      </c>
      <c r="BF23" s="163">
        <f>'Res. Tank Design'!$D$50</f>
        <v>0.55000000000000004</v>
      </c>
      <c r="BG23" s="163">
        <f>'Res. Tank Design'!$D$50</f>
        <v>0.55000000000000004</v>
      </c>
      <c r="BH23" s="163">
        <f>'Res. Tank Design'!$D$50</f>
        <v>0.55000000000000004</v>
      </c>
      <c r="BI23" s="163">
        <f>'Res. Tank Design'!$D$50</f>
        <v>0.55000000000000004</v>
      </c>
      <c r="BJ23" s="163">
        <f>'Res. Tank Design'!$D$50</f>
        <v>0.55000000000000004</v>
      </c>
      <c r="BK23" s="163">
        <f>'Res. Tank Design'!$D$50</f>
        <v>0.55000000000000004</v>
      </c>
      <c r="BL23" s="163">
        <f>'Res. Tank Design'!$D$50</f>
        <v>0.55000000000000004</v>
      </c>
      <c r="BM23" s="163">
        <f>'Res. Tank Design'!$D$50</f>
        <v>0.55000000000000004</v>
      </c>
      <c r="BN23" s="163">
        <f>'Res. Tank Design'!$D$50</f>
        <v>0.55000000000000004</v>
      </c>
      <c r="BO23" s="163">
        <f>'Res. Tank Design'!$D$50</f>
        <v>0.55000000000000004</v>
      </c>
      <c r="BP23" s="163">
        <f>'Res. Tank Design'!$D$50</f>
        <v>0.55000000000000004</v>
      </c>
      <c r="BQ23" s="163">
        <f>'Res. Tank Design'!$D$50</f>
        <v>0.55000000000000004</v>
      </c>
      <c r="BR23" s="163">
        <f>'Res. Tank Design'!$D$50</f>
        <v>0.55000000000000004</v>
      </c>
      <c r="BS23" s="163">
        <f>'Res. Tank Design'!$D$50</f>
        <v>0.55000000000000004</v>
      </c>
      <c r="BT23" s="163">
        <f>'Res. Tank Design'!$D$50</f>
        <v>0.55000000000000004</v>
      </c>
      <c r="BU23" s="163">
        <f>'Res. Tank Design'!$D$50</f>
        <v>0.55000000000000004</v>
      </c>
      <c r="BV23" s="163">
        <f>'Res. Tank Design'!$D$50</f>
        <v>0.55000000000000004</v>
      </c>
      <c r="BW23" s="163">
        <f>'Res. Tank Design'!$D$50</f>
        <v>0.55000000000000004</v>
      </c>
      <c r="BX23" s="163">
        <f>'Res. Tank Design'!$D$50</f>
        <v>0.55000000000000004</v>
      </c>
      <c r="BY23" s="163">
        <f>'Res. Tank Design'!$D$50</f>
        <v>0.55000000000000004</v>
      </c>
      <c r="BZ23" s="163">
        <f>'Res. Tank Design'!$D$50</f>
        <v>0.55000000000000004</v>
      </c>
      <c r="CA23" s="163">
        <f>'Res. Tank Design'!$D$50</f>
        <v>0.55000000000000004</v>
      </c>
      <c r="CB23" s="163">
        <f>'Res. Tank Design'!$D$50</f>
        <v>0.55000000000000004</v>
      </c>
      <c r="CC23" s="163">
        <f>'Res. Tank Design'!$D$50</f>
        <v>0.55000000000000004</v>
      </c>
      <c r="CD23" s="163">
        <f>'Res. Tank Design'!$D$50</f>
        <v>0.55000000000000004</v>
      </c>
      <c r="CE23" s="163">
        <f>'Res. Tank Design'!$D$50</f>
        <v>0.55000000000000004</v>
      </c>
      <c r="CF23" s="163">
        <f>'Res. Tank Design'!$D$50</f>
        <v>0.55000000000000004</v>
      </c>
      <c r="CG23" s="163">
        <f>'Res. Tank Design'!$D$50</f>
        <v>0.55000000000000004</v>
      </c>
    </row>
    <row r="24" spans="2:85" ht="16.5" customHeight="1">
      <c r="B24" s="10" t="s">
        <v>787</v>
      </c>
      <c r="C24" s="10">
        <f>'Res. Tank Design'!$D$56/'Res. Tank Design'!$D$55</f>
        <v>0.59568339718127061</v>
      </c>
      <c r="D24" s="10">
        <f>'Res. Tank Design'!$D$56/'Res. Tank Design'!$D$55</f>
        <v>0.59568339718127061</v>
      </c>
      <c r="E24" s="10">
        <f>'Res. Tank Design'!$D$56/'Res. Tank Design'!$D$55</f>
        <v>0.59568339718127061</v>
      </c>
      <c r="F24" s="10">
        <f>'Res. Tank Design'!$D$56/'Res. Tank Design'!$D$55</f>
        <v>0.59568339718127061</v>
      </c>
      <c r="G24" s="10">
        <f>'Res. Tank Design'!$D$56/'Res. Tank Design'!$D$55</f>
        <v>0.59568339718127061</v>
      </c>
      <c r="H24" s="10">
        <f>'Res. Tank Design'!$D$56/'Res. Tank Design'!$D$55</f>
        <v>0.59568339718127061</v>
      </c>
      <c r="I24" s="10">
        <f>'Res. Tank Design'!$D$56/'Res. Tank Design'!$D$55</f>
        <v>0.59568339718127061</v>
      </c>
      <c r="J24" s="10">
        <f>'Res. Tank Design'!$D$56/'Res. Tank Design'!$D$55</f>
        <v>0.59568339718127061</v>
      </c>
      <c r="K24" s="10">
        <f>'Res. Tank Design'!$D$56/'Res. Tank Design'!$D$55</f>
        <v>0.59568339718127061</v>
      </c>
      <c r="L24" s="10">
        <f>'Res. Tank Design'!$D$56/'Res. Tank Design'!$D$55</f>
        <v>0.59568339718127061</v>
      </c>
      <c r="M24" s="10">
        <f>'Res. Tank Design'!$D$56/'Res. Tank Design'!$D$55</f>
        <v>0.59568339718127061</v>
      </c>
      <c r="N24" s="10">
        <f>'Res. Tank Design'!$D$56/'Res. Tank Design'!$D$55</f>
        <v>0.59568339718127061</v>
      </c>
      <c r="O24" s="10">
        <f>'Res. Tank Design'!$D$56/'Res. Tank Design'!$D$55</f>
        <v>0.59568339718127061</v>
      </c>
      <c r="P24" s="10">
        <f>'Res. Tank Design'!$D$56/'Res. Tank Design'!$D$55</f>
        <v>0.59568339718127061</v>
      </c>
      <c r="Q24" s="10">
        <f>'Res. Tank Design'!$D$56/'Res. Tank Design'!$D$55</f>
        <v>0.59568339718127061</v>
      </c>
      <c r="R24" s="10">
        <f>'Res. Tank Design'!$D$56/'Res. Tank Design'!$D$55</f>
        <v>0.59568339718127061</v>
      </c>
      <c r="S24" s="10">
        <f>'Res. Tank Design'!$D$56/'Res. Tank Design'!$D$55</f>
        <v>0.59568339718127061</v>
      </c>
      <c r="T24" s="10">
        <f>'Res. Tank Design'!$D$56/'Res. Tank Design'!$D$55</f>
        <v>0.59568339718127061</v>
      </c>
      <c r="U24" s="10">
        <f>'Res. Tank Design'!$D$56/'Res. Tank Design'!$D$55</f>
        <v>0.59568339718127061</v>
      </c>
      <c r="V24" s="10">
        <f>'Res. Tank Design'!$D$56/'Res. Tank Design'!$D$55</f>
        <v>0.59568339718127061</v>
      </c>
      <c r="W24" s="10">
        <f>'Res. Tank Design'!$D$56/'Res. Tank Design'!$D$55</f>
        <v>0.59568339718127061</v>
      </c>
      <c r="X24" s="10">
        <f>'Res. Tank Design'!$D$56/'Res. Tank Design'!$D$55</f>
        <v>0.59568339718127061</v>
      </c>
      <c r="Y24" s="10">
        <f>'Res. Tank Design'!$D$56/'Res. Tank Design'!$D$55</f>
        <v>0.59568339718127061</v>
      </c>
      <c r="Z24" s="10">
        <f>'Res. Tank Design'!$D$56/'Res. Tank Design'!$D$55</f>
        <v>0.59568339718127061</v>
      </c>
      <c r="AA24" s="10">
        <f>'Res. Tank Design'!$D$56/'Res. Tank Design'!$D$55</f>
        <v>0.59568339718127061</v>
      </c>
      <c r="AB24" s="10">
        <f>'Res. Tank Design'!$D$56/'Res. Tank Design'!$D$55</f>
        <v>0.59568339718127061</v>
      </c>
      <c r="AC24" s="10">
        <f>'Res. Tank Design'!$D$56/'Res. Tank Design'!$D$55</f>
        <v>0.59568339718127061</v>
      </c>
      <c r="AD24" s="10">
        <f>'Res. Tank Design'!$D$56/'Res. Tank Design'!$D$55</f>
        <v>0.59568339718127061</v>
      </c>
      <c r="AE24" s="10">
        <f>'Res. Tank Design'!$D$56/'Res. Tank Design'!$D$55</f>
        <v>0.59568339718127061</v>
      </c>
      <c r="AF24" s="10">
        <f>'Res. Tank Design'!$D$56/'Res. Tank Design'!$D$55</f>
        <v>0.59568339718127061</v>
      </c>
      <c r="AG24" s="10">
        <f>'Res. Tank Design'!$D$56/'Res. Tank Design'!$D$55</f>
        <v>0.59568339718127061</v>
      </c>
      <c r="AH24" s="10">
        <f>'Res. Tank Design'!$D$56/'Res. Tank Design'!$D$55</f>
        <v>0.59568339718127061</v>
      </c>
      <c r="AI24" s="10">
        <f>'Res. Tank Design'!$D$56/'Res. Tank Design'!$D$55</f>
        <v>0.59568339718127061</v>
      </c>
      <c r="AJ24" s="10">
        <f>'Res. Tank Design'!$D$56/'Res. Tank Design'!$D$55</f>
        <v>0.59568339718127061</v>
      </c>
      <c r="AK24" s="10">
        <f>'Res. Tank Design'!$D$56/'Res. Tank Design'!$D$55</f>
        <v>0.59568339718127061</v>
      </c>
      <c r="AL24" s="10">
        <f>'Res. Tank Design'!$D$56/'Res. Tank Design'!$D$55</f>
        <v>0.59568339718127061</v>
      </c>
      <c r="AM24" s="10">
        <f>'Res. Tank Design'!$D$56/'Res. Tank Design'!$D$55</f>
        <v>0.59568339718127061</v>
      </c>
      <c r="AN24" s="10">
        <f>'Res. Tank Design'!$D$56/'Res. Tank Design'!$D$55</f>
        <v>0.59568339718127061</v>
      </c>
      <c r="AO24" s="10">
        <f>'Res. Tank Design'!$D$56/'Res. Tank Design'!$D$55</f>
        <v>0.59568339718127061</v>
      </c>
      <c r="AP24" s="10">
        <f>'Res. Tank Design'!$D$56/'Res. Tank Design'!$D$55</f>
        <v>0.59568339718127061</v>
      </c>
      <c r="AQ24" s="10">
        <f>'Res. Tank Design'!$D$56/'Res. Tank Design'!$D$55</f>
        <v>0.59568339718127061</v>
      </c>
      <c r="AR24" s="10">
        <f>'Res. Tank Design'!$D$56/'Res. Tank Design'!$D$55</f>
        <v>0.59568339718127061</v>
      </c>
      <c r="AS24" s="10">
        <f>'Res. Tank Design'!$D$56/'Res. Tank Design'!$D$55</f>
        <v>0.59568339718127061</v>
      </c>
      <c r="AT24" s="10">
        <f>'Res. Tank Design'!$D$56/'Res. Tank Design'!$D$55</f>
        <v>0.59568339718127061</v>
      </c>
      <c r="AU24" s="10">
        <f>'Res. Tank Design'!$D$56/'Res. Tank Design'!$D$55</f>
        <v>0.59568339718127061</v>
      </c>
      <c r="AV24" s="10">
        <f>'Res. Tank Design'!$D$56/'Res. Tank Design'!$D$55</f>
        <v>0.59568339718127061</v>
      </c>
      <c r="AW24" s="10">
        <f>'Res. Tank Design'!$D$56/'Res. Tank Design'!$D$55</f>
        <v>0.59568339718127061</v>
      </c>
      <c r="AX24" s="10">
        <f>'Res. Tank Design'!$D$56/'Res. Tank Design'!$D$55</f>
        <v>0.59568339718127061</v>
      </c>
      <c r="AY24" s="10">
        <f>'Res. Tank Design'!$D$56/'Res. Tank Design'!$D$55</f>
        <v>0.59568339718127061</v>
      </c>
      <c r="AZ24" s="10">
        <f>'Res. Tank Design'!$D$56/'Res. Tank Design'!$D$55</f>
        <v>0.59568339718127061</v>
      </c>
      <c r="BA24" s="10">
        <f>'Res. Tank Design'!$D$56/'Res. Tank Design'!$D$55</f>
        <v>0.59568339718127061</v>
      </c>
      <c r="BB24" s="10">
        <f>'Res. Tank Design'!$D$56/'Res. Tank Design'!$D$55</f>
        <v>0.59568339718127061</v>
      </c>
      <c r="BC24" s="10">
        <f>'Res. Tank Design'!$D$56/'Res. Tank Design'!$D$55</f>
        <v>0.59568339718127061</v>
      </c>
      <c r="BD24" s="10">
        <f>'Res. Tank Design'!$D$56/'Res. Tank Design'!$D$55</f>
        <v>0.59568339718127061</v>
      </c>
      <c r="BE24" s="10">
        <f>'Res. Tank Design'!$D$56/'Res. Tank Design'!$D$55</f>
        <v>0.59568339718127061</v>
      </c>
      <c r="BF24" s="10">
        <f>'Res. Tank Design'!$D$56/'Res. Tank Design'!$D$55</f>
        <v>0.59568339718127061</v>
      </c>
      <c r="BG24" s="10">
        <f>'Res. Tank Design'!$D$56/'Res. Tank Design'!$D$55</f>
        <v>0.59568339718127061</v>
      </c>
      <c r="BH24" s="10">
        <f>'Res. Tank Design'!$D$56/'Res. Tank Design'!$D$55</f>
        <v>0.59568339718127061</v>
      </c>
      <c r="BI24" s="10">
        <f>'Res. Tank Design'!$D$56/'Res. Tank Design'!$D$55</f>
        <v>0.59568339718127061</v>
      </c>
      <c r="BJ24" s="10">
        <f>'Res. Tank Design'!$D$56/'Res. Tank Design'!$D$55</f>
        <v>0.59568339718127061</v>
      </c>
      <c r="BK24" s="10">
        <f>'Res. Tank Design'!$D$56/'Res. Tank Design'!$D$55</f>
        <v>0.59568339718127061</v>
      </c>
      <c r="BL24" s="10">
        <f>'Res. Tank Design'!$D$56/'Res. Tank Design'!$D$55</f>
        <v>0.59568339718127061</v>
      </c>
      <c r="BM24" s="10">
        <f>'Res. Tank Design'!$D$56/'Res. Tank Design'!$D$55</f>
        <v>0.59568339718127061</v>
      </c>
      <c r="BN24" s="10">
        <f>'Res. Tank Design'!$D$56/'Res. Tank Design'!$D$55</f>
        <v>0.59568339718127061</v>
      </c>
      <c r="BO24" s="10">
        <f>'Res. Tank Design'!$D$56/'Res. Tank Design'!$D$55</f>
        <v>0.59568339718127061</v>
      </c>
      <c r="BP24" s="10">
        <f>'Res. Tank Design'!$D$56/'Res. Tank Design'!$D$55</f>
        <v>0.59568339718127061</v>
      </c>
      <c r="BQ24" s="10">
        <f>'Res. Tank Design'!$D$56/'Res. Tank Design'!$D$55</f>
        <v>0.59568339718127061</v>
      </c>
      <c r="BR24" s="10">
        <f>'Res. Tank Design'!$D$56/'Res. Tank Design'!$D$55</f>
        <v>0.59568339718127061</v>
      </c>
      <c r="BS24" s="10">
        <f>'Res. Tank Design'!$D$56/'Res. Tank Design'!$D$55</f>
        <v>0.59568339718127061</v>
      </c>
      <c r="BT24" s="10">
        <f>'Res. Tank Design'!$D$56/'Res. Tank Design'!$D$55</f>
        <v>0.59568339718127061</v>
      </c>
      <c r="BU24" s="10">
        <f>'Res. Tank Design'!$D$56/'Res. Tank Design'!$D$55</f>
        <v>0.59568339718127061</v>
      </c>
      <c r="BV24" s="10">
        <f>'Res. Tank Design'!$D$56/'Res. Tank Design'!$D$55</f>
        <v>0.59568339718127061</v>
      </c>
      <c r="BW24" s="10">
        <f>'Res. Tank Design'!$D$56/'Res. Tank Design'!$D$55</f>
        <v>0.59568339718127061</v>
      </c>
      <c r="BX24" s="10">
        <f>'Res. Tank Design'!$D$56/'Res. Tank Design'!$D$55</f>
        <v>0.59568339718127061</v>
      </c>
      <c r="BY24" s="10">
        <f>'Res. Tank Design'!$D$56/'Res. Tank Design'!$D$55</f>
        <v>0.59568339718127061</v>
      </c>
      <c r="BZ24" s="10">
        <f>'Res. Tank Design'!$D$56/'Res. Tank Design'!$D$55</f>
        <v>0.59568339718127061</v>
      </c>
      <c r="CA24" s="10">
        <f>'Res. Tank Design'!$D$56/'Res. Tank Design'!$D$55</f>
        <v>0.59568339718127061</v>
      </c>
      <c r="CB24" s="10">
        <f>'Res. Tank Design'!$D$56/'Res. Tank Design'!$D$55</f>
        <v>0.59568339718127061</v>
      </c>
      <c r="CC24" s="10">
        <f>'Res. Tank Design'!$D$56/'Res. Tank Design'!$D$55</f>
        <v>0.59568339718127061</v>
      </c>
      <c r="CD24" s="10">
        <f>'Res. Tank Design'!$D$56/'Res. Tank Design'!$D$55</f>
        <v>0.59568339718127061</v>
      </c>
      <c r="CE24" s="10">
        <f>'Res. Tank Design'!$D$56/'Res. Tank Design'!$D$55</f>
        <v>0.59568339718127061</v>
      </c>
      <c r="CF24" s="10">
        <f>'Res. Tank Design'!$D$56/'Res. Tank Design'!$D$55</f>
        <v>0.59568339718127061</v>
      </c>
      <c r="CG24" s="10">
        <f>'Res. Tank Design'!$D$56/'Res. Tank Design'!$D$55</f>
        <v>0.59568339718127061</v>
      </c>
    </row>
    <row r="25" spans="2:85" ht="16.5" customHeight="1">
      <c r="B25" s="10" t="s">
        <v>788</v>
      </c>
      <c r="C25" s="10">
        <v>1E-4</v>
      </c>
      <c r="D25" s="10">
        <f t="shared" ref="D25:AI25" si="18">IF(OR(E25&lt;=D24,E25-1/69&gt;D24),E25-1/69,D24-0.0001)</f>
        <v>1.5873252253734454E-2</v>
      </c>
      <c r="E25" s="10">
        <f t="shared" si="18"/>
        <v>3.0366005876922862E-2</v>
      </c>
      <c r="F25" s="10">
        <f t="shared" si="18"/>
        <v>4.485875950011127E-2</v>
      </c>
      <c r="G25" s="10">
        <f t="shared" si="18"/>
        <v>5.9351513123299678E-2</v>
      </c>
      <c r="H25" s="10">
        <f t="shared" si="18"/>
        <v>7.3844266746488085E-2</v>
      </c>
      <c r="I25" s="10">
        <f t="shared" si="18"/>
        <v>8.8337020369676486E-2</v>
      </c>
      <c r="J25" s="10">
        <f t="shared" si="18"/>
        <v>0.10282977399286489</v>
      </c>
      <c r="K25" s="10">
        <f t="shared" si="18"/>
        <v>0.11732252761605329</v>
      </c>
      <c r="L25" s="10">
        <f t="shared" si="18"/>
        <v>0.13181528123924169</v>
      </c>
      <c r="M25" s="10">
        <f t="shared" si="18"/>
        <v>0.1463080348624301</v>
      </c>
      <c r="N25" s="10">
        <f t="shared" si="18"/>
        <v>0.16080078848561852</v>
      </c>
      <c r="O25" s="10">
        <f t="shared" si="18"/>
        <v>0.17529354210880693</v>
      </c>
      <c r="P25" s="10">
        <f t="shared" si="18"/>
        <v>0.18978629573199535</v>
      </c>
      <c r="Q25" s="10">
        <f t="shared" si="18"/>
        <v>0.20427904935518376</v>
      </c>
      <c r="R25" s="10">
        <f t="shared" si="18"/>
        <v>0.21877180297837218</v>
      </c>
      <c r="S25" s="10">
        <f t="shared" si="18"/>
        <v>0.23326455660156059</v>
      </c>
      <c r="T25" s="10">
        <f t="shared" si="18"/>
        <v>0.24775731022474901</v>
      </c>
      <c r="U25" s="10">
        <f t="shared" si="18"/>
        <v>0.26225006384793742</v>
      </c>
      <c r="V25" s="10">
        <f t="shared" si="18"/>
        <v>0.27674281747112583</v>
      </c>
      <c r="W25" s="10">
        <f t="shared" si="18"/>
        <v>0.29123557109431425</v>
      </c>
      <c r="X25" s="10">
        <f t="shared" si="18"/>
        <v>0.30572832471750266</v>
      </c>
      <c r="Y25" s="10">
        <f t="shared" si="18"/>
        <v>0.32022107834069108</v>
      </c>
      <c r="Z25" s="10">
        <f t="shared" si="18"/>
        <v>0.33471383196387949</v>
      </c>
      <c r="AA25" s="10">
        <f t="shared" si="18"/>
        <v>0.34920658558706791</v>
      </c>
      <c r="AB25" s="10">
        <f t="shared" si="18"/>
        <v>0.36369933921025632</v>
      </c>
      <c r="AC25" s="10">
        <f t="shared" si="18"/>
        <v>0.37819209283344474</v>
      </c>
      <c r="AD25" s="10">
        <f t="shared" si="18"/>
        <v>0.39268484645663315</v>
      </c>
      <c r="AE25" s="10">
        <f t="shared" si="18"/>
        <v>0.40717760007982157</v>
      </c>
      <c r="AF25" s="10">
        <f t="shared" si="18"/>
        <v>0.42167035370300998</v>
      </c>
      <c r="AG25" s="10">
        <f t="shared" si="18"/>
        <v>0.4361631073261984</v>
      </c>
      <c r="AH25" s="10">
        <f t="shared" si="18"/>
        <v>0.45065586094938681</v>
      </c>
      <c r="AI25" s="10">
        <f t="shared" si="18"/>
        <v>0.46514861457257523</v>
      </c>
      <c r="AJ25" s="10">
        <f t="shared" ref="AJ25:BO25" si="19">IF(OR(AK25&lt;=AJ24,AK25-1/69&gt;AJ24),AK25-1/69,AJ24-0.0001)</f>
        <v>0.47964136819576364</v>
      </c>
      <c r="AK25" s="10">
        <f t="shared" si="19"/>
        <v>0.49413412181895205</v>
      </c>
      <c r="AL25" s="10">
        <f t="shared" si="19"/>
        <v>0.50862687544214047</v>
      </c>
      <c r="AM25" s="10">
        <f t="shared" si="19"/>
        <v>0.52311962906532883</v>
      </c>
      <c r="AN25" s="10">
        <f t="shared" si="19"/>
        <v>0.53761238268851719</v>
      </c>
      <c r="AO25" s="10">
        <f t="shared" si="19"/>
        <v>0.55210513631170555</v>
      </c>
      <c r="AP25" s="10">
        <f t="shared" si="19"/>
        <v>0.56659788993489391</v>
      </c>
      <c r="AQ25" s="10">
        <f t="shared" si="19"/>
        <v>0.58109064355808226</v>
      </c>
      <c r="AR25" s="10">
        <f t="shared" si="19"/>
        <v>0.59558339718127062</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1.0941598358762417</v>
      </c>
      <c r="BV25" s="10">
        <f t="shared" si="21"/>
        <v>1.1883196717524833</v>
      </c>
      <c r="BW25" s="10">
        <f t="shared" si="21"/>
        <v>1.2824795076287252</v>
      </c>
      <c r="BX25" s="10">
        <f t="shared" si="21"/>
        <v>1.3766393435049669</v>
      </c>
      <c r="BY25" s="10">
        <f t="shared" si="21"/>
        <v>1.4707991793812085</v>
      </c>
      <c r="BZ25" s="10">
        <f t="shared" si="21"/>
        <v>1.5649590152574504</v>
      </c>
      <c r="CA25" s="10">
        <f t="shared" si="21"/>
        <v>1.6591188511336921</v>
      </c>
      <c r="CB25" s="10">
        <f t="shared" si="21"/>
        <v>1.7532786870099337</v>
      </c>
      <c r="CC25" s="10">
        <f t="shared" si="21"/>
        <v>1.8474385228861754</v>
      </c>
      <c r="CD25" s="10">
        <f t="shared" si="21"/>
        <v>1.941598358762417</v>
      </c>
      <c r="CE25" s="10">
        <f t="shared" si="21"/>
        <v>2.0357581946386589</v>
      </c>
      <c r="CF25" s="10">
        <f t="shared" si="21"/>
        <v>2.1299180305149008</v>
      </c>
      <c r="CG25" s="10">
        <f>1.5*$CG$26</f>
        <v>2.2240778663911422</v>
      </c>
    </row>
    <row r="26" spans="2:85" ht="16.5" customHeight="1">
      <c r="B26" s="10" t="s">
        <v>1178</v>
      </c>
      <c r="C26" s="10">
        <f t="shared" ref="C26:AH26" si="22">IF(1+C23-1/C18&gt;0,SQRT(C23/(1+C23-1/C18)),$CG$26)</f>
        <v>1.4827185775940948</v>
      </c>
      <c r="D26" s="10">
        <f t="shared" si="22"/>
        <v>1.4827185775940948</v>
      </c>
      <c r="E26" s="10">
        <f t="shared" si="22"/>
        <v>1.4827185775940948</v>
      </c>
      <c r="F26" s="10">
        <f t="shared" si="22"/>
        <v>1.4827185775940948</v>
      </c>
      <c r="G26" s="10">
        <f t="shared" si="22"/>
        <v>1.4827185775940948</v>
      </c>
      <c r="H26" s="10">
        <f t="shared" si="22"/>
        <v>1.4827185775940948</v>
      </c>
      <c r="I26" s="10">
        <f t="shared" si="22"/>
        <v>1.4827185775940948</v>
      </c>
      <c r="J26" s="10">
        <f t="shared" si="22"/>
        <v>1.4827185775940948</v>
      </c>
      <c r="K26" s="10">
        <f t="shared" si="22"/>
        <v>1.4827185775940948</v>
      </c>
      <c r="L26" s="10">
        <f t="shared" si="22"/>
        <v>1.4827185775940948</v>
      </c>
      <c r="M26" s="10">
        <f t="shared" si="22"/>
        <v>1.4827185775940948</v>
      </c>
      <c r="N26" s="10">
        <f t="shared" si="22"/>
        <v>1.4827185775940948</v>
      </c>
      <c r="O26" s="10">
        <f t="shared" si="22"/>
        <v>1.4827185775940948</v>
      </c>
      <c r="P26" s="10">
        <f t="shared" si="22"/>
        <v>1.4827185775940948</v>
      </c>
      <c r="Q26" s="10">
        <f t="shared" si="22"/>
        <v>1.4827185775940948</v>
      </c>
      <c r="R26" s="10">
        <f t="shared" si="22"/>
        <v>1.4827185775940948</v>
      </c>
      <c r="S26" s="10">
        <f t="shared" si="22"/>
        <v>1.4827185775940948</v>
      </c>
      <c r="T26" s="10">
        <f t="shared" si="22"/>
        <v>1.4827185775940948</v>
      </c>
      <c r="U26" s="10">
        <f t="shared" si="22"/>
        <v>1.4827185775940948</v>
      </c>
      <c r="V26" s="10">
        <f t="shared" si="22"/>
        <v>1.4827185775940948</v>
      </c>
      <c r="W26" s="10">
        <f t="shared" si="22"/>
        <v>1.4827185775940948</v>
      </c>
      <c r="X26" s="10">
        <f t="shared" si="22"/>
        <v>1.4827185775940948</v>
      </c>
      <c r="Y26" s="10">
        <f t="shared" si="22"/>
        <v>1.4827185775940948</v>
      </c>
      <c r="Z26" s="10">
        <f t="shared" si="22"/>
        <v>1.4827185775940948</v>
      </c>
      <c r="AA26" s="10">
        <f t="shared" si="22"/>
        <v>1.4827185775940948</v>
      </c>
      <c r="AB26" s="10">
        <f t="shared" si="22"/>
        <v>1.4827185775940948</v>
      </c>
      <c r="AC26" s="10">
        <f t="shared" si="22"/>
        <v>1.4827185775940948</v>
      </c>
      <c r="AD26" s="10">
        <f t="shared" si="22"/>
        <v>1.4827185775940948</v>
      </c>
      <c r="AE26" s="10">
        <f t="shared" si="22"/>
        <v>1.4827185775940948</v>
      </c>
      <c r="AF26" s="10">
        <f t="shared" si="22"/>
        <v>1.4827185775940948</v>
      </c>
      <c r="AG26" s="10">
        <f t="shared" si="22"/>
        <v>1.4827185775940948</v>
      </c>
      <c r="AH26" s="10">
        <f t="shared" si="22"/>
        <v>1.4827185775940948</v>
      </c>
      <c r="AI26" s="10">
        <f t="shared" ref="AI26:BN26" si="23">IF(1+AI23-1/AI18&gt;0,SQRT(AI23/(1+AI23-1/AI18)),$CG$26)</f>
        <v>1.4827185775940948</v>
      </c>
      <c r="AJ26" s="10">
        <f t="shared" si="23"/>
        <v>1.4827185775940948</v>
      </c>
      <c r="AK26" s="10">
        <f t="shared" si="23"/>
        <v>1.4827185775940948</v>
      </c>
      <c r="AL26" s="10">
        <f t="shared" si="23"/>
        <v>1.4827185775940948</v>
      </c>
      <c r="AM26" s="10">
        <f t="shared" si="23"/>
        <v>1.4827185775940948</v>
      </c>
      <c r="AN26" s="10">
        <f t="shared" si="23"/>
        <v>1.4827185775940948</v>
      </c>
      <c r="AO26" s="10">
        <f t="shared" si="23"/>
        <v>1.4827185775940948</v>
      </c>
      <c r="AP26" s="10">
        <f t="shared" si="23"/>
        <v>1.4827185775940948</v>
      </c>
      <c r="AQ26" s="10">
        <f t="shared" si="23"/>
        <v>1.4827185775940948</v>
      </c>
      <c r="AR26" s="10">
        <f t="shared" si="23"/>
        <v>1.4827185775940948</v>
      </c>
      <c r="AS26" s="10">
        <f t="shared" si="23"/>
        <v>1.4827185775940948</v>
      </c>
      <c r="AT26" s="10">
        <f t="shared" si="23"/>
        <v>1.4827185775940948</v>
      </c>
      <c r="AU26" s="10">
        <f t="shared" si="23"/>
        <v>1.4827185775940948</v>
      </c>
      <c r="AV26" s="10">
        <f t="shared" si="23"/>
        <v>1.4827185775940948</v>
      </c>
      <c r="AW26" s="10">
        <f t="shared" si="23"/>
        <v>1.4827185775940948</v>
      </c>
      <c r="AX26" s="10">
        <f t="shared" si="23"/>
        <v>1.4827185775940948</v>
      </c>
      <c r="AY26" s="10">
        <f t="shared" si="23"/>
        <v>1.4827185775940948</v>
      </c>
      <c r="AZ26" s="10">
        <f t="shared" si="23"/>
        <v>1.4827185775940948</v>
      </c>
      <c r="BA26" s="10">
        <f t="shared" si="23"/>
        <v>1.4827185775940948</v>
      </c>
      <c r="BB26" s="10">
        <f t="shared" si="23"/>
        <v>1.4827185775940948</v>
      </c>
      <c r="BC26" s="10">
        <f t="shared" si="23"/>
        <v>1.4827185775940948</v>
      </c>
      <c r="BD26" s="10">
        <f t="shared" si="23"/>
        <v>1.4827185775940948</v>
      </c>
      <c r="BE26" s="10">
        <f t="shared" si="23"/>
        <v>1.4827185775940948</v>
      </c>
      <c r="BF26" s="10">
        <f t="shared" si="23"/>
        <v>1.4827185775940948</v>
      </c>
      <c r="BG26" s="10">
        <f t="shared" si="23"/>
        <v>1.4827185775940948</v>
      </c>
      <c r="BH26" s="10">
        <f t="shared" si="23"/>
        <v>1.4827185775940948</v>
      </c>
      <c r="BI26" s="10">
        <f t="shared" si="23"/>
        <v>1.4827185775940948</v>
      </c>
      <c r="BJ26" s="10">
        <f t="shared" si="23"/>
        <v>1.4827185775940948</v>
      </c>
      <c r="BK26" s="10">
        <f t="shared" si="23"/>
        <v>1.4827185775940948</v>
      </c>
      <c r="BL26" s="10">
        <f t="shared" si="23"/>
        <v>1.4827185775940948</v>
      </c>
      <c r="BM26" s="10">
        <f t="shared" si="23"/>
        <v>1.4827185775940948</v>
      </c>
      <c r="BN26" s="10">
        <f t="shared" si="23"/>
        <v>1.4827185775940948</v>
      </c>
      <c r="BO26" s="10">
        <f t="shared" ref="BO26:CF26" si="24">IF(1+BO23-1/BO18&gt;0,SQRT(BO23/(1+BO23-1/BO18)),$CG$26)</f>
        <v>1.4827185775940948</v>
      </c>
      <c r="BP26" s="10">
        <f t="shared" si="24"/>
        <v>1.4827185775940948</v>
      </c>
      <c r="BQ26" s="10">
        <f t="shared" si="24"/>
        <v>1.4827185775940948</v>
      </c>
      <c r="BR26" s="10">
        <f t="shared" si="24"/>
        <v>1.4827185775940948</v>
      </c>
      <c r="BS26" s="10">
        <f t="shared" si="24"/>
        <v>1.4827185775940948</v>
      </c>
      <c r="BT26" s="10">
        <f t="shared" si="24"/>
        <v>1.4827185775940948</v>
      </c>
      <c r="BU26" s="10">
        <f t="shared" si="24"/>
        <v>1.4827185775940948</v>
      </c>
      <c r="BV26" s="10">
        <f t="shared" si="24"/>
        <v>1.4827185775940948</v>
      </c>
      <c r="BW26" s="10">
        <f t="shared" si="24"/>
        <v>1.4827185775940948</v>
      </c>
      <c r="BX26" s="10">
        <f t="shared" si="24"/>
        <v>1.4827185775940948</v>
      </c>
      <c r="BY26" s="10">
        <f t="shared" si="24"/>
        <v>1.4827185775940948</v>
      </c>
      <c r="BZ26" s="10">
        <f t="shared" si="24"/>
        <v>1.4827185775940948</v>
      </c>
      <c r="CA26" s="10">
        <f t="shared" si="24"/>
        <v>1.4827185775940948</v>
      </c>
      <c r="CB26" s="10">
        <f t="shared" si="24"/>
        <v>1.4827185775940948</v>
      </c>
      <c r="CC26" s="10">
        <f t="shared" si="24"/>
        <v>1.4827185775940948</v>
      </c>
      <c r="CD26" s="10">
        <f t="shared" si="24"/>
        <v>1.4827185775940948</v>
      </c>
      <c r="CE26" s="10">
        <f t="shared" si="24"/>
        <v>1.4827185775940948</v>
      </c>
      <c r="CF26" s="10">
        <f t="shared" si="24"/>
        <v>1.4827185775940948</v>
      </c>
      <c r="CG26" s="10">
        <f>MAX(IF(1+$C$23-1/$C$18&gt;0,SQRT($C$23/(1+$C$23-1/$C$18)),0),(SQRT(MAX(0,1/$C$18^2-(1+$C$23)^2))/$C$41+SQRT(SQRT(MAX(0,1/$C$18^2-(1+$C$23)^2))/$C$41^2+4))/2,'Design Spec'!$D$43/'Res. Tank Design'!$D$55)</f>
        <v>1.4827185775940948</v>
      </c>
    </row>
    <row r="27" spans="2:85" ht="16.5" customHeight="1">
      <c r="B27" s="10" t="s">
        <v>789</v>
      </c>
      <c r="C27" s="10">
        <f>C26*'Res. Tank Design'!$D$55</f>
        <v>225</v>
      </c>
      <c r="D27" s="10">
        <f>D26*'Res. Tank Design'!$D$55</f>
        <v>225</v>
      </c>
      <c r="E27" s="10">
        <f>E26*'Res. Tank Design'!$D$55</f>
        <v>225</v>
      </c>
      <c r="F27" s="10">
        <f>F26*'Res. Tank Design'!$D$55</f>
        <v>225</v>
      </c>
      <c r="G27" s="10">
        <f>G26*'Res. Tank Design'!$D$55</f>
        <v>225</v>
      </c>
      <c r="H27" s="10">
        <f>H26*'Res. Tank Design'!$D$55</f>
        <v>225</v>
      </c>
      <c r="I27" s="10">
        <f>I26*'Res. Tank Design'!$D$55</f>
        <v>225</v>
      </c>
      <c r="J27" s="10">
        <f>J26*'Res. Tank Design'!$D$55</f>
        <v>225</v>
      </c>
      <c r="K27" s="10">
        <f>K26*'Res. Tank Design'!$D$55</f>
        <v>225</v>
      </c>
      <c r="L27" s="10">
        <f>L26*'Res. Tank Design'!$D$55</f>
        <v>225</v>
      </c>
      <c r="M27" s="10">
        <f>M26*'Res. Tank Design'!$D$55</f>
        <v>225</v>
      </c>
      <c r="N27" s="10">
        <f>N26*'Res. Tank Design'!$D$55</f>
        <v>225</v>
      </c>
      <c r="O27" s="10">
        <f>O26*'Res. Tank Design'!$D$55</f>
        <v>225</v>
      </c>
      <c r="P27" s="10">
        <f>P26*'Res. Tank Design'!$D$55</f>
        <v>225</v>
      </c>
      <c r="Q27" s="10">
        <f>Q26*'Res. Tank Design'!$D$55</f>
        <v>225</v>
      </c>
      <c r="R27" s="10">
        <f>R26*'Res. Tank Design'!$D$55</f>
        <v>225</v>
      </c>
      <c r="S27" s="10">
        <f>S26*'Res. Tank Design'!$D$55</f>
        <v>225</v>
      </c>
      <c r="T27" s="10">
        <f>T26*'Res. Tank Design'!$D$55</f>
        <v>225</v>
      </c>
      <c r="U27" s="10">
        <f>U26*'Res. Tank Design'!$D$55</f>
        <v>225</v>
      </c>
      <c r="V27" s="10">
        <f>V26*'Res. Tank Design'!$D$55</f>
        <v>225</v>
      </c>
      <c r="W27" s="10">
        <f>W26*'Res. Tank Design'!$D$55</f>
        <v>225</v>
      </c>
      <c r="X27" s="10">
        <f>X26*'Res. Tank Design'!$D$55</f>
        <v>225</v>
      </c>
      <c r="Y27" s="10">
        <f>Y26*'Res. Tank Design'!$D$55</f>
        <v>225</v>
      </c>
      <c r="Z27" s="10">
        <f>Z26*'Res. Tank Design'!$D$55</f>
        <v>225</v>
      </c>
      <c r="AA27" s="10">
        <f>AA26*'Res. Tank Design'!$D$55</f>
        <v>225</v>
      </c>
      <c r="AB27" s="10">
        <f>AB26*'Res. Tank Design'!$D$55</f>
        <v>225</v>
      </c>
      <c r="AC27" s="10">
        <f>AC26*'Res. Tank Design'!$D$55</f>
        <v>225</v>
      </c>
      <c r="AD27" s="10">
        <f>AD26*'Res. Tank Design'!$D$55</f>
        <v>225</v>
      </c>
      <c r="AE27" s="10">
        <f>AE26*'Res. Tank Design'!$D$55</f>
        <v>225</v>
      </c>
      <c r="AF27" s="10">
        <f>AF26*'Res. Tank Design'!$D$55</f>
        <v>225</v>
      </c>
      <c r="AG27" s="10">
        <f>AG26*'Res. Tank Design'!$D$55</f>
        <v>225</v>
      </c>
      <c r="AH27" s="10">
        <f>AH26*'Res. Tank Design'!$D$55</f>
        <v>225</v>
      </c>
      <c r="AI27" s="10">
        <f>AI26*'Res. Tank Design'!$D$55</f>
        <v>225</v>
      </c>
      <c r="AJ27" s="10">
        <f>AJ26*'Res. Tank Design'!$D$55</f>
        <v>225</v>
      </c>
      <c r="AK27" s="10">
        <f>AK26*'Res. Tank Design'!$D$55</f>
        <v>225</v>
      </c>
      <c r="AL27" s="10">
        <f>AL26*'Res. Tank Design'!$D$55</f>
        <v>225</v>
      </c>
      <c r="AM27" s="10">
        <f>AM26*'Res. Tank Design'!$D$55</f>
        <v>225</v>
      </c>
      <c r="AN27" s="10">
        <f>AN26*'Res. Tank Design'!$D$55</f>
        <v>225</v>
      </c>
      <c r="AO27" s="10">
        <f>AO26*'Res. Tank Design'!$D$55</f>
        <v>225</v>
      </c>
      <c r="AP27" s="10">
        <f>AP26*'Res. Tank Design'!$D$55</f>
        <v>225</v>
      </c>
      <c r="AQ27" s="10">
        <f>AQ26*'Res. Tank Design'!$D$55</f>
        <v>225</v>
      </c>
      <c r="AR27" s="10">
        <f>AR26*'Res. Tank Design'!$D$55</f>
        <v>225</v>
      </c>
      <c r="AS27" s="10">
        <f>AS26*'Res. Tank Design'!$D$55</f>
        <v>225</v>
      </c>
      <c r="AT27" s="10">
        <f>AT26*'Res. Tank Design'!$D$55</f>
        <v>225</v>
      </c>
      <c r="AU27" s="10">
        <f>AU26*'Res. Tank Design'!$D$55</f>
        <v>225</v>
      </c>
      <c r="AV27" s="10">
        <f>AV26*'Res. Tank Design'!$D$55</f>
        <v>225</v>
      </c>
      <c r="AW27" s="10">
        <f>AW26*'Res. Tank Design'!$D$55</f>
        <v>225</v>
      </c>
      <c r="AX27" s="10">
        <f>AX26*'Res. Tank Design'!$D$55</f>
        <v>225</v>
      </c>
      <c r="AY27" s="10">
        <f>AY26*'Res. Tank Design'!$D$55</f>
        <v>225</v>
      </c>
      <c r="AZ27" s="10">
        <f>AZ26*'Res. Tank Design'!$D$55</f>
        <v>225</v>
      </c>
      <c r="BA27" s="10">
        <f>BA26*'Res. Tank Design'!$D$55</f>
        <v>225</v>
      </c>
      <c r="BB27" s="10">
        <f>BB26*'Res. Tank Design'!$D$55</f>
        <v>225</v>
      </c>
      <c r="BC27" s="10">
        <f>BC26*'Res. Tank Design'!$D$55</f>
        <v>225</v>
      </c>
      <c r="BD27" s="10">
        <f>BD26*'Res. Tank Design'!$D$55</f>
        <v>225</v>
      </c>
      <c r="BE27" s="10">
        <f>BE26*'Res. Tank Design'!$D$55</f>
        <v>225</v>
      </c>
      <c r="BF27" s="10">
        <f>BF26*'Res. Tank Design'!$D$55</f>
        <v>225</v>
      </c>
      <c r="BG27" s="10">
        <f>BG26*'Res. Tank Design'!$D$55</f>
        <v>225</v>
      </c>
      <c r="BH27" s="10">
        <f>BH26*'Res. Tank Design'!$D$55</f>
        <v>225</v>
      </c>
      <c r="BI27" s="10">
        <f>BI26*'Res. Tank Design'!$D$55</f>
        <v>225</v>
      </c>
      <c r="BJ27" s="10">
        <f>BJ26*'Res. Tank Design'!$D$55</f>
        <v>225</v>
      </c>
      <c r="BK27" s="10">
        <f>BK26*'Res. Tank Design'!$D$55</f>
        <v>225</v>
      </c>
      <c r="BL27" s="10">
        <f>BL26*'Res. Tank Design'!$D$55</f>
        <v>225</v>
      </c>
      <c r="BM27" s="10">
        <f>BM26*'Res. Tank Design'!$D$55</f>
        <v>225</v>
      </c>
      <c r="BN27" s="10">
        <f>BN26*'Res. Tank Design'!$D$55</f>
        <v>225</v>
      </c>
      <c r="BO27" s="10">
        <f>BO26*'Res. Tank Design'!$D$55</f>
        <v>225</v>
      </c>
      <c r="BP27" s="10">
        <f>BP26*'Res. Tank Design'!$D$55</f>
        <v>225</v>
      </c>
      <c r="BQ27" s="10">
        <f>BQ26*'Res. Tank Design'!$D$55</f>
        <v>225</v>
      </c>
      <c r="BR27" s="10">
        <f>BR26*'Res. Tank Design'!$D$55</f>
        <v>225</v>
      </c>
      <c r="BS27" s="10">
        <f>BS26*'Res. Tank Design'!$D$55</f>
        <v>225</v>
      </c>
      <c r="BT27" s="10">
        <f>BT26*'Res. Tank Design'!$D$55</f>
        <v>225</v>
      </c>
      <c r="BU27" s="10">
        <f>BU26*'Res. Tank Design'!$D$55</f>
        <v>225</v>
      </c>
      <c r="BV27" s="10">
        <f>BV26*'Res. Tank Design'!$D$55</f>
        <v>225</v>
      </c>
      <c r="BW27" s="10">
        <f>BW26*'Res. Tank Design'!$D$55</f>
        <v>225</v>
      </c>
      <c r="BX27" s="10">
        <f>BX26*'Res. Tank Design'!$D$55</f>
        <v>225</v>
      </c>
      <c r="BY27" s="10">
        <f>BY26*'Res. Tank Design'!$D$55</f>
        <v>225</v>
      </c>
      <c r="BZ27" s="10">
        <f>BZ26*'Res. Tank Design'!$D$55</f>
        <v>225</v>
      </c>
      <c r="CA27" s="10">
        <f>CA26*'Res. Tank Design'!$D$55</f>
        <v>225</v>
      </c>
      <c r="CB27" s="10">
        <f>CB26*'Res. Tank Design'!$D$55</f>
        <v>225</v>
      </c>
      <c r="CC27" s="10">
        <f>CC26*'Res. Tank Design'!$D$55</f>
        <v>225</v>
      </c>
      <c r="CD27" s="10">
        <f>CD26*'Res. Tank Design'!$D$55</f>
        <v>225</v>
      </c>
      <c r="CE27" s="10">
        <f>CE26*'Res. Tank Design'!$D$55</f>
        <v>225</v>
      </c>
      <c r="CF27" s="10">
        <f>CF26*'Res. Tank Design'!$D$55</f>
        <v>225</v>
      </c>
      <c r="CG27" s="10">
        <f>CG26*'Res. Tank Design'!$D$55</f>
        <v>225</v>
      </c>
    </row>
    <row r="28" spans="2:85" ht="16.5" customHeight="1">
      <c r="B28" s="10" t="s">
        <v>790</v>
      </c>
      <c r="C28" s="10">
        <f t="shared" ref="C28:AH28" si="25">1/ABS(1+C23-(C23/(C25^2)))</f>
        <v>1.8181818694214891E-8</v>
      </c>
      <c r="D28" s="10">
        <f t="shared" si="25"/>
        <v>4.5843486080323931E-4</v>
      </c>
      <c r="E28" s="10">
        <f t="shared" si="25"/>
        <v>1.6809031588080569E-3</v>
      </c>
      <c r="F28" s="10">
        <f t="shared" si="25"/>
        <v>3.6796096233436626E-3</v>
      </c>
      <c r="G28" s="10">
        <f t="shared" si="25"/>
        <v>6.4689505366927781E-3</v>
      </c>
      <c r="H28" s="10">
        <f t="shared" si="25"/>
        <v>1.006924014666013E-2</v>
      </c>
      <c r="I28" s="10">
        <f t="shared" si="25"/>
        <v>1.4507085341411862E-2</v>
      </c>
      <c r="J28" s="10">
        <f t="shared" si="25"/>
        <v>1.9815886734477171E-2</v>
      </c>
      <c r="K28" s="10">
        <f t="shared" si="25"/>
        <v>2.60364841282682E-2</v>
      </c>
      <c r="L28" s="10">
        <f t="shared" si="25"/>
        <v>3.3217970268501124E-2</v>
      </c>
      <c r="M28" s="10">
        <f t="shared" si="25"/>
        <v>4.1418704207585526E-2</v>
      </c>
      <c r="N28" s="10">
        <f t="shared" si="25"/>
        <v>5.0707565001690311E-2</v>
      </c>
      <c r="O28" s="10">
        <f t="shared" si="25"/>
        <v>6.1165498606440744E-2</v>
      </c>
      <c r="P28" s="10">
        <f t="shared" si="25"/>
        <v>7.2887426721453472E-2</v>
      </c>
      <c r="Q28" s="10">
        <f t="shared" si="25"/>
        <v>8.5984607380215405E-2</v>
      </c>
      <c r="R28" s="10">
        <f t="shared" si="25"/>
        <v>0.10058756529817002</v>
      </c>
      <c r="S28" s="10">
        <f t="shared" si="25"/>
        <v>0.11684974826611343</v>
      </c>
      <c r="T28" s="10">
        <f t="shared" si="25"/>
        <v>0.13495211841510513</v>
      </c>
      <c r="U28" s="10">
        <f t="shared" si="25"/>
        <v>0.1551089601980947</v>
      </c>
      <c r="V28" s="10">
        <f t="shared" si="25"/>
        <v>0.17757528975111317</v>
      </c>
      <c r="W28" s="10">
        <f t="shared" si="25"/>
        <v>0.20265639710919678</v>
      </c>
      <c r="X28" s="10">
        <f t="shared" si="25"/>
        <v>0.23072026555833491</v>
      </c>
      <c r="Y28" s="10">
        <f t="shared" si="25"/>
        <v>0.2622139259337819</v>
      </c>
      <c r="Z28" s="10">
        <f t="shared" si="25"/>
        <v>0.29768527386992738</v>
      </c>
      <c r="AA28" s="10">
        <f t="shared" si="25"/>
        <v>0.33781259699280758</v>
      </c>
      <c r="AB28" s="10">
        <f t="shared" si="25"/>
        <v>0.38344518225621382</v>
      </c>
      <c r="AC28" s="10">
        <f t="shared" si="25"/>
        <v>0.43566017041989979</v>
      </c>
      <c r="AD28" s="10">
        <f t="shared" si="25"/>
        <v>0.49584377595513202</v>
      </c>
      <c r="AE28" s="10">
        <f t="shared" si="25"/>
        <v>0.5658099840402776</v>
      </c>
      <c r="AF28" s="10">
        <f t="shared" si="25"/>
        <v>0.64797857254531277</v>
      </c>
      <c r="AG28" s="10">
        <f t="shared" si="25"/>
        <v>0.74565018646828418</v>
      </c>
      <c r="AH28" s="10">
        <f t="shared" si="25"/>
        <v>0.86344635358449939</v>
      </c>
      <c r="AI28" s="10">
        <f t="shared" ref="AI28:BN28" si="26">1/ABS(1+AI23-(AI23/(AI25^2)))</f>
        <v>1.0080426295398424</v>
      </c>
      <c r="AJ28" s="10">
        <f t="shared" si="26"/>
        <v>1.1894511385173552</v>
      </c>
      <c r="AK28" s="10">
        <f t="shared" si="26"/>
        <v>1.4234013629092448</v>
      </c>
      <c r="AL28" s="10">
        <f t="shared" si="26"/>
        <v>1.7360989995321769</v>
      </c>
      <c r="AM28" s="10">
        <f t="shared" si="26"/>
        <v>2.1746875861878081</v>
      </c>
      <c r="AN28" s="10">
        <f t="shared" si="26"/>
        <v>2.8333755596601264</v>
      </c>
      <c r="AO28" s="10">
        <f t="shared" si="26"/>
        <v>3.931697538572557</v>
      </c>
      <c r="AP28" s="10">
        <f t="shared" si="26"/>
        <v>6.126752259434352</v>
      </c>
      <c r="AQ28" s="10">
        <f t="shared" si="26"/>
        <v>12.686030104772303</v>
      </c>
      <c r="AR28" s="10">
        <f t="shared" si="26"/>
        <v>1921.075488318872</v>
      </c>
      <c r="AS28" s="10">
        <f t="shared" si="26"/>
        <v>15.252918287936314</v>
      </c>
      <c r="AT28" s="10">
        <f t="shared" si="26"/>
        <v>7.4737267582858724</v>
      </c>
      <c r="AU28" s="10">
        <f t="shared" si="26"/>
        <v>5.0647482014387224</v>
      </c>
      <c r="AV28" s="10">
        <f t="shared" si="26"/>
        <v>3.8927335640137759</v>
      </c>
      <c r="AW28" s="10">
        <f t="shared" si="26"/>
        <v>3.1999999999999589</v>
      </c>
      <c r="AX28" s="10">
        <f t="shared" si="26"/>
        <v>2.7427365284330496</v>
      </c>
      <c r="AY28" s="10">
        <f t="shared" si="26"/>
        <v>2.4185167690127352</v>
      </c>
      <c r="AZ28" s="10">
        <f t="shared" si="26"/>
        <v>2.1767905711695241</v>
      </c>
      <c r="BA28" s="10">
        <f t="shared" si="26"/>
        <v>1.989732977834364</v>
      </c>
      <c r="BB28" s="10">
        <f t="shared" si="26"/>
        <v>1.840764331210184</v>
      </c>
      <c r="BC28" s="10">
        <f t="shared" si="26"/>
        <v>1.719390837122049</v>
      </c>
      <c r="BD28" s="10">
        <f t="shared" si="26"/>
        <v>1.6186469978102984</v>
      </c>
      <c r="BE28" s="10">
        <f t="shared" si="26"/>
        <v>1.533727810650884</v>
      </c>
      <c r="BF28" s="10">
        <f t="shared" si="26"/>
        <v>1.4612114771519631</v>
      </c>
      <c r="BG28" s="10">
        <f t="shared" si="26"/>
        <v>1.3985951611104894</v>
      </c>
      <c r="BH28" s="10">
        <f t="shared" si="26"/>
        <v>1.3440059568131029</v>
      </c>
      <c r="BI28" s="10">
        <f t="shared" si="26"/>
        <v>1.2960144857742746</v>
      </c>
      <c r="BJ28" s="10">
        <f t="shared" si="26"/>
        <v>1.2535109830752598</v>
      </c>
      <c r="BK28" s="10">
        <f t="shared" si="26"/>
        <v>1.2156207263333829</v>
      </c>
      <c r="BL28" s="10">
        <f t="shared" si="26"/>
        <v>1.1816449666560804</v>
      </c>
      <c r="BM28" s="10">
        <f t="shared" si="26"/>
        <v>1.1510188193373549</v>
      </c>
      <c r="BN28" s="10">
        <f t="shared" si="26"/>
        <v>1.1232806928171162</v>
      </c>
      <c r="BO28" s="10">
        <f t="shared" ref="BO28:CG28" si="27">1/ABS(1+BO23-(BO23/(BO25^2)))</f>
        <v>1.0980497285704707</v>
      </c>
      <c r="BP28" s="10">
        <f t="shared" si="27"/>
        <v>1.075008905399216</v>
      </c>
      <c r="BQ28" s="10">
        <f t="shared" si="27"/>
        <v>1.0538922155688621</v>
      </c>
      <c r="BR28" s="10">
        <f t="shared" si="27"/>
        <v>1.0344748121860163</v>
      </c>
      <c r="BS28" s="10">
        <f t="shared" si="27"/>
        <v>1.0165653545557474</v>
      </c>
      <c r="BT28" s="10">
        <f t="shared" si="27"/>
        <v>1</v>
      </c>
      <c r="BU28" s="10">
        <f t="shared" si="27"/>
        <v>0.91693549952553188</v>
      </c>
      <c r="BV28" s="10">
        <f t="shared" si="27"/>
        <v>0.86168998879143488</v>
      </c>
      <c r="BW28" s="10">
        <f t="shared" si="27"/>
        <v>0.82263670826099355</v>
      </c>
      <c r="BX28" s="10">
        <f t="shared" si="27"/>
        <v>0.79378728528817399</v>
      </c>
      <c r="BY28" s="10">
        <f t="shared" si="27"/>
        <v>0.77175205670342473</v>
      </c>
      <c r="BZ28" s="10">
        <f t="shared" si="27"/>
        <v>0.75447360939940766</v>
      </c>
      <c r="CA28" s="10">
        <f t="shared" si="27"/>
        <v>0.74063409892789966</v>
      </c>
      <c r="CB28" s="10">
        <f t="shared" si="27"/>
        <v>0.72935245849283004</v>
      </c>
      <c r="CC28" s="10">
        <f t="shared" si="27"/>
        <v>0.72001869646296623</v>
      </c>
      <c r="CD28" s="10">
        <f t="shared" si="27"/>
        <v>0.71219804408449605</v>
      </c>
      <c r="CE28" s="10">
        <f t="shared" si="27"/>
        <v>0.70557291401446665</v>
      </c>
      <c r="CF28" s="10">
        <f t="shared" si="27"/>
        <v>0.69990637892080065</v>
      </c>
      <c r="CG28" s="10">
        <f t="shared" si="27"/>
        <v>0.69501842714572559</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t="e">
        <f t="shared" si="29"/>
        <v>#N/A</v>
      </c>
      <c r="AP29" s="10" t="e">
        <f t="shared" si="29"/>
        <v>#N/A</v>
      </c>
      <c r="AQ29" s="10" t="e">
        <f t="shared" si="29"/>
        <v>#N/A</v>
      </c>
      <c r="AR29" s="10">
        <f t="shared" si="29"/>
        <v>1921.075488318872</v>
      </c>
      <c r="AS29" s="10">
        <f t="shared" si="29"/>
        <v>3.9054984685615115</v>
      </c>
      <c r="AT29" s="10">
        <f t="shared" si="29"/>
        <v>2.7338117635063819</v>
      </c>
      <c r="AU29" s="10">
        <f t="shared" si="29"/>
        <v>2.2504995448652561</v>
      </c>
      <c r="AV29" s="10">
        <f t="shared" si="29"/>
        <v>1.973001156617445</v>
      </c>
      <c r="AW29" s="10">
        <f t="shared" si="29"/>
        <v>1.7888543819998208</v>
      </c>
      <c r="AX29" s="10">
        <f t="shared" si="29"/>
        <v>1.6561209280825628</v>
      </c>
      <c r="AY29" s="10">
        <f t="shared" si="29"/>
        <v>1.5551581170455744</v>
      </c>
      <c r="AZ29" s="10">
        <f t="shared" si="29"/>
        <v>1.4753950559662059</v>
      </c>
      <c r="BA29" s="10">
        <f t="shared" si="29"/>
        <v>1.4105789512942422</v>
      </c>
      <c r="BB29" s="10">
        <f t="shared" si="29"/>
        <v>1.3567477035949549</v>
      </c>
      <c r="BC29" s="10">
        <f t="shared" si="29"/>
        <v>1.3112554431238976</v>
      </c>
      <c r="BD29" s="10">
        <f t="shared" si="29"/>
        <v>1.2722605856546443</v>
      </c>
      <c r="BE29" s="10">
        <f t="shared" si="29"/>
        <v>1.238437649076805</v>
      </c>
      <c r="BF29" s="10">
        <f t="shared" si="29"/>
        <v>1.2088058062203222</v>
      </c>
      <c r="BG29" s="10">
        <f t="shared" si="29"/>
        <v>1.1826221548366533</v>
      </c>
      <c r="BH29" s="10">
        <f t="shared" si="29"/>
        <v>1.1593127088120372</v>
      </c>
      <c r="BI29" s="10">
        <f t="shared" si="29"/>
        <v>1.138426319870669</v>
      </c>
      <c r="BJ29" s="10">
        <f t="shared" si="29"/>
        <v>1.1196030470998461</v>
      </c>
      <c r="BK29" s="10">
        <f t="shared" si="29"/>
        <v>1.1025519154821612</v>
      </c>
      <c r="BL29" s="10">
        <f t="shared" si="29"/>
        <v>1.0870349427024324</v>
      </c>
      <c r="BM29" s="10">
        <f t="shared" si="29"/>
        <v>1.0728554512782025</v>
      </c>
      <c r="BN29" s="10">
        <f t="shared" si="29"/>
        <v>1.0598493727021383</v>
      </c>
      <c r="BO29" s="10">
        <f t="shared" ref="BO29:CG29" si="30">IF(BP30&gt;BO30,NA(),(IF(BO30&lt;1,NA(),BO30)))</f>
        <v>1.0478786802728983</v>
      </c>
      <c r="BP29" s="10">
        <f t="shared" si="30"/>
        <v>1.0368263622223424</v>
      </c>
      <c r="BQ29" s="10">
        <f t="shared" si="30"/>
        <v>1.0265925265502678</v>
      </c>
      <c r="BR29" s="10">
        <f t="shared" si="30"/>
        <v>1.0170913489878952</v>
      </c>
      <c r="BS29" s="10">
        <f t="shared" si="30"/>
        <v>1.0082486571058487</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1.8181818694214891E-8</v>
      </c>
      <c r="D30" s="10">
        <f t="shared" si="31"/>
        <v>4.5843486080323931E-4</v>
      </c>
      <c r="E30" s="10">
        <f t="shared" si="31"/>
        <v>1.6809031588080569E-3</v>
      </c>
      <c r="F30" s="10">
        <f t="shared" si="31"/>
        <v>3.6796096233436626E-3</v>
      </c>
      <c r="G30" s="10">
        <f t="shared" si="31"/>
        <v>6.4689505366927781E-3</v>
      </c>
      <c r="H30" s="10">
        <f t="shared" si="31"/>
        <v>1.006924014666013E-2</v>
      </c>
      <c r="I30" s="10">
        <f t="shared" si="31"/>
        <v>1.4507085341411862E-2</v>
      </c>
      <c r="J30" s="10">
        <f t="shared" si="31"/>
        <v>1.9815886734477171E-2</v>
      </c>
      <c r="K30" s="10">
        <f t="shared" si="31"/>
        <v>2.60364841282682E-2</v>
      </c>
      <c r="L30" s="10">
        <f t="shared" si="31"/>
        <v>3.3217970268501124E-2</v>
      </c>
      <c r="M30" s="10">
        <f t="shared" si="31"/>
        <v>4.1418704207585526E-2</v>
      </c>
      <c r="N30" s="10">
        <f t="shared" si="31"/>
        <v>5.0707565001690311E-2</v>
      </c>
      <c r="O30" s="10">
        <f t="shared" si="31"/>
        <v>6.1165498606440744E-2</v>
      </c>
      <c r="P30" s="10">
        <f t="shared" si="31"/>
        <v>7.2887426721453472E-2</v>
      </c>
      <c r="Q30" s="10">
        <f t="shared" si="31"/>
        <v>8.5984607380215405E-2</v>
      </c>
      <c r="R30" s="10">
        <f t="shared" si="31"/>
        <v>0.10058756529817002</v>
      </c>
      <c r="S30" s="10">
        <f t="shared" si="31"/>
        <v>0.11684974826611343</v>
      </c>
      <c r="T30" s="10">
        <f t="shared" si="31"/>
        <v>0.13495211841510513</v>
      </c>
      <c r="U30" s="10">
        <f t="shared" si="31"/>
        <v>0.1551089601980947</v>
      </c>
      <c r="V30" s="10">
        <f t="shared" si="31"/>
        <v>0.17757528975111317</v>
      </c>
      <c r="W30" s="10">
        <f t="shared" si="31"/>
        <v>0.20265639710919678</v>
      </c>
      <c r="X30" s="10">
        <f t="shared" si="31"/>
        <v>0.23072026555833491</v>
      </c>
      <c r="Y30" s="10">
        <f t="shared" si="31"/>
        <v>0.2622139259337819</v>
      </c>
      <c r="Z30" s="10">
        <f t="shared" si="31"/>
        <v>0.29768527386992738</v>
      </c>
      <c r="AA30" s="10">
        <f t="shared" si="31"/>
        <v>0.33781259699280758</v>
      </c>
      <c r="AB30" s="10">
        <f t="shared" si="31"/>
        <v>0.38344518225621382</v>
      </c>
      <c r="AC30" s="10">
        <f t="shared" si="31"/>
        <v>0.43566017041989979</v>
      </c>
      <c r="AD30" s="10">
        <f t="shared" si="31"/>
        <v>0.49584377595513202</v>
      </c>
      <c r="AE30" s="10">
        <f t="shared" si="31"/>
        <v>0.5658099840402776</v>
      </c>
      <c r="AF30" s="10">
        <f t="shared" si="31"/>
        <v>0.64797857254531277</v>
      </c>
      <c r="AG30" s="10">
        <f t="shared" si="31"/>
        <v>0.74565018646828418</v>
      </c>
      <c r="AH30" s="10">
        <f t="shared" si="31"/>
        <v>0.86344635358449939</v>
      </c>
      <c r="AI30" s="10">
        <f t="shared" ref="AI30:BN30" si="32">IFERROR(AI25/((((AI25^2)*(1+AI23))-AI23)^0.5),AI28)</f>
        <v>1.0080426295398424</v>
      </c>
      <c r="AJ30" s="10">
        <f t="shared" si="32"/>
        <v>1.1894511385173552</v>
      </c>
      <c r="AK30" s="10">
        <f t="shared" si="32"/>
        <v>1.4234013629092448</v>
      </c>
      <c r="AL30" s="10">
        <f t="shared" si="32"/>
        <v>1.7360989995321769</v>
      </c>
      <c r="AM30" s="10">
        <f t="shared" si="32"/>
        <v>2.1746875861878081</v>
      </c>
      <c r="AN30" s="10">
        <f t="shared" si="32"/>
        <v>2.8333755596601264</v>
      </c>
      <c r="AO30" s="10">
        <f t="shared" si="32"/>
        <v>3.931697538572557</v>
      </c>
      <c r="AP30" s="10">
        <f t="shared" si="32"/>
        <v>6.126752259434352</v>
      </c>
      <c r="AQ30" s="10">
        <f t="shared" si="32"/>
        <v>12.686030104772303</v>
      </c>
      <c r="AR30" s="10">
        <f t="shared" si="32"/>
        <v>1921.075488318872</v>
      </c>
      <c r="AS30" s="10">
        <f t="shared" si="32"/>
        <v>3.9054984685615115</v>
      </c>
      <c r="AT30" s="10">
        <f t="shared" si="32"/>
        <v>2.7338117635063819</v>
      </c>
      <c r="AU30" s="10">
        <f t="shared" si="32"/>
        <v>2.2504995448652561</v>
      </c>
      <c r="AV30" s="10">
        <f t="shared" si="32"/>
        <v>1.973001156617445</v>
      </c>
      <c r="AW30" s="10">
        <f t="shared" si="32"/>
        <v>1.7888543819998208</v>
      </c>
      <c r="AX30" s="10">
        <f t="shared" si="32"/>
        <v>1.6561209280825628</v>
      </c>
      <c r="AY30" s="10">
        <f t="shared" si="32"/>
        <v>1.5551581170455744</v>
      </c>
      <c r="AZ30" s="10">
        <f t="shared" si="32"/>
        <v>1.4753950559662059</v>
      </c>
      <c r="BA30" s="10">
        <f t="shared" si="32"/>
        <v>1.4105789512942422</v>
      </c>
      <c r="BB30" s="10">
        <f t="shared" si="32"/>
        <v>1.3567477035949549</v>
      </c>
      <c r="BC30" s="10">
        <f t="shared" si="32"/>
        <v>1.3112554431238976</v>
      </c>
      <c r="BD30" s="10">
        <f t="shared" si="32"/>
        <v>1.2722605856546443</v>
      </c>
      <c r="BE30" s="10">
        <f t="shared" si="32"/>
        <v>1.238437649076805</v>
      </c>
      <c r="BF30" s="10">
        <f t="shared" si="32"/>
        <v>1.2088058062203222</v>
      </c>
      <c r="BG30" s="10">
        <f t="shared" si="32"/>
        <v>1.1826221548366533</v>
      </c>
      <c r="BH30" s="10">
        <f t="shared" si="32"/>
        <v>1.1593127088120372</v>
      </c>
      <c r="BI30" s="10">
        <f t="shared" si="32"/>
        <v>1.138426319870669</v>
      </c>
      <c r="BJ30" s="10">
        <f t="shared" si="32"/>
        <v>1.1196030470998461</v>
      </c>
      <c r="BK30" s="10">
        <f t="shared" si="32"/>
        <v>1.1025519154821612</v>
      </c>
      <c r="BL30" s="10">
        <f t="shared" si="32"/>
        <v>1.0870349427024324</v>
      </c>
      <c r="BM30" s="10">
        <f t="shared" si="32"/>
        <v>1.0728554512782025</v>
      </c>
      <c r="BN30" s="10">
        <f t="shared" si="32"/>
        <v>1.0598493727021383</v>
      </c>
      <c r="BO30" s="10">
        <f t="shared" ref="BO30:CG30" si="33">IFERROR(BO25/((((BO25^2)*(1+BO23))-BO23)^0.5),BO28)</f>
        <v>1.0478786802728983</v>
      </c>
      <c r="BP30" s="10">
        <f t="shared" si="33"/>
        <v>1.0368263622223424</v>
      </c>
      <c r="BQ30" s="10">
        <f t="shared" si="33"/>
        <v>1.0265925265502678</v>
      </c>
      <c r="BR30" s="10">
        <f t="shared" si="33"/>
        <v>1.0170913489878952</v>
      </c>
      <c r="BS30" s="10">
        <f t="shared" si="33"/>
        <v>1.0082486571058487</v>
      </c>
      <c r="BT30" s="10">
        <f t="shared" si="33"/>
        <v>1</v>
      </c>
      <c r="BU30" s="10">
        <f t="shared" si="33"/>
        <v>0.95756749084622328</v>
      </c>
      <c r="BV30" s="10">
        <f t="shared" si="33"/>
        <v>0.92827258323804607</v>
      </c>
      <c r="BW30" s="10">
        <f t="shared" si="33"/>
        <v>0.90699322393333981</v>
      </c>
      <c r="BX30" s="10">
        <f t="shared" si="33"/>
        <v>0.89094740882286305</v>
      </c>
      <c r="BY30" s="10">
        <f t="shared" si="33"/>
        <v>0.87849419844608234</v>
      </c>
      <c r="BZ30" s="10">
        <f t="shared" si="33"/>
        <v>0.86860440328115285</v>
      </c>
      <c r="CA30" s="10">
        <f t="shared" si="33"/>
        <v>0.86060101029913949</v>
      </c>
      <c r="CB30" s="10">
        <f t="shared" si="33"/>
        <v>0.85402134545503605</v>
      </c>
      <c r="CC30" s="10">
        <f t="shared" si="33"/>
        <v>0.8485391543487939</v>
      </c>
      <c r="CD30" s="10">
        <f t="shared" si="33"/>
        <v>0.84391826860454677</v>
      </c>
      <c r="CE30" s="10">
        <f t="shared" si="33"/>
        <v>0.83998387723483525</v>
      </c>
      <c r="CF30" s="10">
        <f t="shared" si="33"/>
        <v>0.83660407536707626</v>
      </c>
      <c r="CG30" s="10">
        <f t="shared" si="33"/>
        <v>0.83367765182096942</v>
      </c>
    </row>
    <row r="31" spans="2:85" ht="16.5" customHeight="1">
      <c r="B31" s="10" t="s">
        <v>792</v>
      </c>
      <c r="C31" s="10">
        <f t="shared" ref="C31:AH31" si="34">1/(1+C23)</f>
        <v>0.64516129032258063</v>
      </c>
      <c r="D31" s="10">
        <f t="shared" si="34"/>
        <v>0.64516129032258063</v>
      </c>
      <c r="E31" s="10">
        <f t="shared" si="34"/>
        <v>0.64516129032258063</v>
      </c>
      <c r="F31" s="10">
        <f t="shared" si="34"/>
        <v>0.64516129032258063</v>
      </c>
      <c r="G31" s="10">
        <f t="shared" si="34"/>
        <v>0.64516129032258063</v>
      </c>
      <c r="H31" s="10">
        <f t="shared" si="34"/>
        <v>0.64516129032258063</v>
      </c>
      <c r="I31" s="10">
        <f t="shared" si="34"/>
        <v>0.64516129032258063</v>
      </c>
      <c r="J31" s="10">
        <f t="shared" si="34"/>
        <v>0.64516129032258063</v>
      </c>
      <c r="K31" s="10">
        <f t="shared" si="34"/>
        <v>0.64516129032258063</v>
      </c>
      <c r="L31" s="10">
        <f t="shared" si="34"/>
        <v>0.64516129032258063</v>
      </c>
      <c r="M31" s="10">
        <f t="shared" si="34"/>
        <v>0.64516129032258063</v>
      </c>
      <c r="N31" s="10">
        <f t="shared" si="34"/>
        <v>0.64516129032258063</v>
      </c>
      <c r="O31" s="10">
        <f t="shared" si="34"/>
        <v>0.64516129032258063</v>
      </c>
      <c r="P31" s="10">
        <f t="shared" si="34"/>
        <v>0.64516129032258063</v>
      </c>
      <c r="Q31" s="10">
        <f t="shared" si="34"/>
        <v>0.64516129032258063</v>
      </c>
      <c r="R31" s="10">
        <f t="shared" si="34"/>
        <v>0.64516129032258063</v>
      </c>
      <c r="S31" s="10">
        <f t="shared" si="34"/>
        <v>0.64516129032258063</v>
      </c>
      <c r="T31" s="10">
        <f t="shared" si="34"/>
        <v>0.64516129032258063</v>
      </c>
      <c r="U31" s="10">
        <f t="shared" si="34"/>
        <v>0.64516129032258063</v>
      </c>
      <c r="V31" s="10">
        <f t="shared" si="34"/>
        <v>0.64516129032258063</v>
      </c>
      <c r="W31" s="10">
        <f t="shared" si="34"/>
        <v>0.64516129032258063</v>
      </c>
      <c r="X31" s="10">
        <f t="shared" si="34"/>
        <v>0.64516129032258063</v>
      </c>
      <c r="Y31" s="10">
        <f t="shared" si="34"/>
        <v>0.64516129032258063</v>
      </c>
      <c r="Z31" s="10">
        <f t="shared" si="34"/>
        <v>0.64516129032258063</v>
      </c>
      <c r="AA31" s="10">
        <f t="shared" si="34"/>
        <v>0.64516129032258063</v>
      </c>
      <c r="AB31" s="10">
        <f t="shared" si="34"/>
        <v>0.64516129032258063</v>
      </c>
      <c r="AC31" s="10">
        <f t="shared" si="34"/>
        <v>0.64516129032258063</v>
      </c>
      <c r="AD31" s="10">
        <f t="shared" si="34"/>
        <v>0.64516129032258063</v>
      </c>
      <c r="AE31" s="10">
        <f t="shared" si="34"/>
        <v>0.64516129032258063</v>
      </c>
      <c r="AF31" s="10">
        <f t="shared" si="34"/>
        <v>0.64516129032258063</v>
      </c>
      <c r="AG31" s="10">
        <f t="shared" si="34"/>
        <v>0.64516129032258063</v>
      </c>
      <c r="AH31" s="10">
        <f t="shared" si="34"/>
        <v>0.64516129032258063</v>
      </c>
      <c r="AI31" s="10">
        <f t="shared" ref="AI31:BN31" si="35">1/(1+AI23)</f>
        <v>0.64516129032258063</v>
      </c>
      <c r="AJ31" s="10">
        <f t="shared" si="35"/>
        <v>0.64516129032258063</v>
      </c>
      <c r="AK31" s="10">
        <f t="shared" si="35"/>
        <v>0.64516129032258063</v>
      </c>
      <c r="AL31" s="10">
        <f t="shared" si="35"/>
        <v>0.64516129032258063</v>
      </c>
      <c r="AM31" s="10">
        <f t="shared" si="35"/>
        <v>0.64516129032258063</v>
      </c>
      <c r="AN31" s="10">
        <f t="shared" si="35"/>
        <v>0.64516129032258063</v>
      </c>
      <c r="AO31" s="10">
        <f t="shared" si="35"/>
        <v>0.64516129032258063</v>
      </c>
      <c r="AP31" s="10">
        <f t="shared" si="35"/>
        <v>0.64516129032258063</v>
      </c>
      <c r="AQ31" s="10">
        <f t="shared" si="35"/>
        <v>0.64516129032258063</v>
      </c>
      <c r="AR31" s="10">
        <f t="shared" si="35"/>
        <v>0.64516129032258063</v>
      </c>
      <c r="AS31" s="10">
        <f t="shared" si="35"/>
        <v>0.64516129032258063</v>
      </c>
      <c r="AT31" s="10">
        <f t="shared" si="35"/>
        <v>0.64516129032258063</v>
      </c>
      <c r="AU31" s="10">
        <f t="shared" si="35"/>
        <v>0.64516129032258063</v>
      </c>
      <c r="AV31" s="10">
        <f t="shared" si="35"/>
        <v>0.64516129032258063</v>
      </c>
      <c r="AW31" s="10">
        <f t="shared" si="35"/>
        <v>0.64516129032258063</v>
      </c>
      <c r="AX31" s="10">
        <f t="shared" si="35"/>
        <v>0.64516129032258063</v>
      </c>
      <c r="AY31" s="10">
        <f t="shared" si="35"/>
        <v>0.64516129032258063</v>
      </c>
      <c r="AZ31" s="10">
        <f t="shared" si="35"/>
        <v>0.64516129032258063</v>
      </c>
      <c r="BA31" s="10">
        <f t="shared" si="35"/>
        <v>0.64516129032258063</v>
      </c>
      <c r="BB31" s="10">
        <f t="shared" si="35"/>
        <v>0.64516129032258063</v>
      </c>
      <c r="BC31" s="10">
        <f t="shared" si="35"/>
        <v>0.64516129032258063</v>
      </c>
      <c r="BD31" s="10">
        <f t="shared" si="35"/>
        <v>0.64516129032258063</v>
      </c>
      <c r="BE31" s="10">
        <f t="shared" si="35"/>
        <v>0.64516129032258063</v>
      </c>
      <c r="BF31" s="10">
        <f t="shared" si="35"/>
        <v>0.64516129032258063</v>
      </c>
      <c r="BG31" s="10">
        <f t="shared" si="35"/>
        <v>0.64516129032258063</v>
      </c>
      <c r="BH31" s="10">
        <f t="shared" si="35"/>
        <v>0.64516129032258063</v>
      </c>
      <c r="BI31" s="10">
        <f t="shared" si="35"/>
        <v>0.64516129032258063</v>
      </c>
      <c r="BJ31" s="10">
        <f t="shared" si="35"/>
        <v>0.64516129032258063</v>
      </c>
      <c r="BK31" s="10">
        <f t="shared" si="35"/>
        <v>0.64516129032258063</v>
      </c>
      <c r="BL31" s="10">
        <f t="shared" si="35"/>
        <v>0.64516129032258063</v>
      </c>
      <c r="BM31" s="10">
        <f t="shared" si="35"/>
        <v>0.64516129032258063</v>
      </c>
      <c r="BN31" s="10">
        <f t="shared" si="35"/>
        <v>0.64516129032258063</v>
      </c>
      <c r="BO31" s="10">
        <f t="shared" ref="BO31:CG31" si="36">1/(1+BO23)</f>
        <v>0.64516129032258063</v>
      </c>
      <c r="BP31" s="10">
        <f t="shared" si="36"/>
        <v>0.64516129032258063</v>
      </c>
      <c r="BQ31" s="10">
        <f t="shared" si="36"/>
        <v>0.64516129032258063</v>
      </c>
      <c r="BR31" s="10">
        <f t="shared" si="36"/>
        <v>0.64516129032258063</v>
      </c>
      <c r="BS31" s="10">
        <f t="shared" si="36"/>
        <v>0.64516129032258063</v>
      </c>
      <c r="BT31" s="10">
        <f t="shared" si="36"/>
        <v>0.64516129032258063</v>
      </c>
      <c r="BU31" s="10">
        <f t="shared" si="36"/>
        <v>0.64516129032258063</v>
      </c>
      <c r="BV31" s="10">
        <f t="shared" si="36"/>
        <v>0.64516129032258063</v>
      </c>
      <c r="BW31" s="10">
        <f t="shared" si="36"/>
        <v>0.64516129032258063</v>
      </c>
      <c r="BX31" s="10">
        <f t="shared" si="36"/>
        <v>0.64516129032258063</v>
      </c>
      <c r="BY31" s="10">
        <f t="shared" si="36"/>
        <v>0.64516129032258063</v>
      </c>
      <c r="BZ31" s="10">
        <f t="shared" si="36"/>
        <v>0.64516129032258063</v>
      </c>
      <c r="CA31" s="10">
        <f t="shared" si="36"/>
        <v>0.64516129032258063</v>
      </c>
      <c r="CB31" s="10">
        <f t="shared" si="36"/>
        <v>0.64516129032258063</v>
      </c>
      <c r="CC31" s="10">
        <f t="shared" si="36"/>
        <v>0.64516129032258063</v>
      </c>
      <c r="CD31" s="10">
        <f t="shared" si="36"/>
        <v>0.64516129032258063</v>
      </c>
      <c r="CE31" s="10">
        <f t="shared" si="36"/>
        <v>0.64516129032258063</v>
      </c>
      <c r="CF31" s="10">
        <f t="shared" si="36"/>
        <v>0.64516129032258063</v>
      </c>
      <c r="CG31" s="10">
        <f t="shared" si="36"/>
        <v>0.64516129032258063</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10.488088481701515</v>
      </c>
      <c r="D40" s="87">
        <f>'Res. Tank Design'!$D$52</f>
        <v>10.488088481701515</v>
      </c>
      <c r="E40" s="87">
        <f>'Res. Tank Design'!$D$52</f>
        <v>10.488088481701515</v>
      </c>
      <c r="F40" s="87">
        <f>'Res. Tank Design'!$D$52</f>
        <v>10.488088481701515</v>
      </c>
      <c r="G40" s="87">
        <f>'Res. Tank Design'!$D$52</f>
        <v>10.488088481701515</v>
      </c>
      <c r="H40" s="87">
        <f>'Res. Tank Design'!$D$52</f>
        <v>10.488088481701515</v>
      </c>
      <c r="I40" s="87">
        <f>'Res. Tank Design'!$D$52</f>
        <v>10.488088481701515</v>
      </c>
      <c r="J40" s="87">
        <f>'Res. Tank Design'!$D$52</f>
        <v>10.488088481701515</v>
      </c>
      <c r="K40" s="87">
        <f>'Res. Tank Design'!$D$52</f>
        <v>10.488088481701515</v>
      </c>
      <c r="L40" s="87">
        <f>'Res. Tank Design'!$D$52</f>
        <v>10.488088481701515</v>
      </c>
      <c r="M40" s="87">
        <f>'Res. Tank Design'!$D$52</f>
        <v>10.488088481701515</v>
      </c>
      <c r="N40" s="87">
        <f>'Res. Tank Design'!$D$52</f>
        <v>10.488088481701515</v>
      </c>
      <c r="O40" s="87">
        <f>'Res. Tank Design'!$D$52</f>
        <v>10.488088481701515</v>
      </c>
      <c r="P40" s="87">
        <f>'Res. Tank Design'!$D$52</f>
        <v>10.488088481701515</v>
      </c>
      <c r="Q40" s="87">
        <f>'Res. Tank Design'!$D$52</f>
        <v>10.488088481701515</v>
      </c>
      <c r="R40" s="87">
        <f>'Res. Tank Design'!$D$52</f>
        <v>10.488088481701515</v>
      </c>
      <c r="S40" s="87">
        <f>'Res. Tank Design'!$D$52</f>
        <v>10.488088481701515</v>
      </c>
      <c r="T40" s="87">
        <f>'Res. Tank Design'!$D$52</f>
        <v>10.488088481701515</v>
      </c>
      <c r="U40" s="87">
        <f>'Res. Tank Design'!$D$52</f>
        <v>10.488088481701515</v>
      </c>
      <c r="V40" s="87">
        <f>'Res. Tank Design'!$D$52</f>
        <v>10.488088481701515</v>
      </c>
      <c r="W40" s="87">
        <f>'Res. Tank Design'!$D$52</f>
        <v>10.488088481701515</v>
      </c>
      <c r="X40" s="87">
        <f>'Res. Tank Design'!$D$52</f>
        <v>10.488088481701515</v>
      </c>
      <c r="Y40" s="87">
        <f>'Res. Tank Design'!$D$52</f>
        <v>10.488088481701515</v>
      </c>
      <c r="Z40" s="87">
        <f>'Res. Tank Design'!$D$52</f>
        <v>10.488088481701515</v>
      </c>
      <c r="AA40" s="87">
        <f>'Res. Tank Design'!$D$52</f>
        <v>10.488088481701515</v>
      </c>
      <c r="AB40" s="87">
        <f>'Res. Tank Design'!$D$52</f>
        <v>10.488088481701515</v>
      </c>
      <c r="AC40" s="87">
        <f>'Res. Tank Design'!$D$52</f>
        <v>10.488088481701515</v>
      </c>
      <c r="AD40" s="87">
        <f>'Res. Tank Design'!$D$52</f>
        <v>10.488088481701515</v>
      </c>
      <c r="AE40" s="87">
        <f>'Res. Tank Design'!$D$52</f>
        <v>10.488088481701515</v>
      </c>
      <c r="AF40" s="87">
        <f>'Res. Tank Design'!$D$52</f>
        <v>10.488088481701515</v>
      </c>
      <c r="AG40" s="87">
        <f>'Res. Tank Design'!$D$52</f>
        <v>10.488088481701515</v>
      </c>
      <c r="AH40" s="87">
        <f>'Res. Tank Design'!$D$52</f>
        <v>10.488088481701515</v>
      </c>
      <c r="AI40" s="87">
        <f>'Res. Tank Design'!$D$52</f>
        <v>10.488088481701515</v>
      </c>
      <c r="AJ40" s="87">
        <f>'Res. Tank Design'!$D$52</f>
        <v>10.488088481701515</v>
      </c>
      <c r="AK40" s="87">
        <f>'Res. Tank Design'!$D$52</f>
        <v>10.488088481701515</v>
      </c>
      <c r="AL40" s="87">
        <f>'Res. Tank Design'!$D$52</f>
        <v>10.488088481701515</v>
      </c>
      <c r="AM40" s="87">
        <f>'Res. Tank Design'!$D$52</f>
        <v>10.488088481701515</v>
      </c>
      <c r="AN40" s="87">
        <f>'Res. Tank Design'!$D$52</f>
        <v>10.488088481701515</v>
      </c>
      <c r="AO40" s="87">
        <f>'Res. Tank Design'!$D$52</f>
        <v>10.488088481701515</v>
      </c>
      <c r="AP40" s="87">
        <f>'Res. Tank Design'!$D$52</f>
        <v>10.488088481701515</v>
      </c>
      <c r="AQ40" s="87">
        <f>'Res. Tank Design'!$D$52</f>
        <v>10.488088481701515</v>
      </c>
      <c r="AR40" s="87">
        <f>'Res. Tank Design'!$D$52</f>
        <v>10.488088481701515</v>
      </c>
      <c r="AS40" s="87">
        <f>'Res. Tank Design'!$D$52</f>
        <v>10.488088481701515</v>
      </c>
      <c r="AT40" s="87">
        <f>'Res. Tank Design'!$D$52</f>
        <v>10.488088481701515</v>
      </c>
      <c r="AU40" s="87">
        <f>'Res. Tank Design'!$D$52</f>
        <v>10.488088481701515</v>
      </c>
      <c r="AV40" s="87">
        <f>'Res. Tank Design'!$D$52</f>
        <v>10.488088481701515</v>
      </c>
      <c r="AW40" s="87">
        <f>'Res. Tank Design'!$D$52</f>
        <v>10.488088481701515</v>
      </c>
      <c r="AX40" s="87">
        <f>'Res. Tank Design'!$D$52</f>
        <v>10.488088481701515</v>
      </c>
      <c r="AY40" s="87">
        <f>'Res. Tank Design'!$D$52</f>
        <v>10.488088481701515</v>
      </c>
      <c r="AZ40" s="87">
        <f>'Res. Tank Design'!$D$52</f>
        <v>10.488088481701515</v>
      </c>
      <c r="BA40" s="87">
        <f>'Res. Tank Design'!$D$52</f>
        <v>10.488088481701515</v>
      </c>
      <c r="BB40" s="87">
        <f>'Res. Tank Design'!$D$52</f>
        <v>10.488088481701515</v>
      </c>
      <c r="BC40" s="87">
        <f>'Res. Tank Design'!$D$52</f>
        <v>10.488088481701515</v>
      </c>
      <c r="BD40" s="87">
        <f>'Res. Tank Design'!$D$52</f>
        <v>10.488088481701515</v>
      </c>
      <c r="BE40" s="87">
        <f>'Res. Tank Design'!$D$52</f>
        <v>10.488088481701515</v>
      </c>
      <c r="BF40" s="87">
        <f>'Res. Tank Design'!$D$52</f>
        <v>10.488088481701515</v>
      </c>
      <c r="BG40" s="87">
        <f>'Res. Tank Design'!$D$52</f>
        <v>10.488088481701515</v>
      </c>
      <c r="BH40" s="87">
        <f>'Res. Tank Design'!$D$52</f>
        <v>10.488088481701515</v>
      </c>
      <c r="BI40" s="87">
        <f>'Res. Tank Design'!$D$52</f>
        <v>10.488088481701515</v>
      </c>
      <c r="BJ40" s="87">
        <f>'Res. Tank Design'!$D$52</f>
        <v>10.488088481701515</v>
      </c>
      <c r="BK40" s="87">
        <f>'Res. Tank Design'!$D$52</f>
        <v>10.488088481701515</v>
      </c>
      <c r="BL40" s="87">
        <f>'Res. Tank Design'!$D$52</f>
        <v>10.488088481701515</v>
      </c>
      <c r="BM40" s="87">
        <f>'Res. Tank Design'!$D$52</f>
        <v>10.488088481701515</v>
      </c>
      <c r="BN40" s="87">
        <f>'Res. Tank Design'!$D$52</f>
        <v>10.488088481701515</v>
      </c>
      <c r="BO40" s="87">
        <f>'Res. Tank Design'!$D$52</f>
        <v>10.488088481701515</v>
      </c>
      <c r="BP40" s="87">
        <f>'Res. Tank Design'!$D$52</f>
        <v>10.488088481701515</v>
      </c>
      <c r="BQ40" s="87">
        <f>'Res. Tank Design'!$D$52</f>
        <v>10.488088481701515</v>
      </c>
      <c r="BR40" s="87">
        <f>'Res. Tank Design'!$D$52</f>
        <v>10.488088481701515</v>
      </c>
      <c r="BS40" s="87">
        <f>'Res. Tank Design'!$D$52</f>
        <v>10.488088481701515</v>
      </c>
      <c r="BT40" s="87">
        <f>'Res. Tank Design'!$D$52</f>
        <v>10.488088481701515</v>
      </c>
      <c r="BU40" s="87">
        <f>'Res. Tank Design'!$D$52</f>
        <v>10.488088481701515</v>
      </c>
      <c r="BV40" s="87">
        <f>'Res. Tank Design'!$D$52</f>
        <v>10.488088481701515</v>
      </c>
      <c r="BW40" s="87">
        <f>'Res. Tank Design'!$D$52</f>
        <v>10.488088481701515</v>
      </c>
      <c r="BX40" s="87">
        <f>'Res. Tank Design'!$D$52</f>
        <v>10.488088481701515</v>
      </c>
      <c r="BY40" s="87">
        <f>'Res. Tank Design'!$D$52</f>
        <v>10.488088481701515</v>
      </c>
      <c r="BZ40" s="87">
        <f>'Res. Tank Design'!$D$52</f>
        <v>10.488088481701515</v>
      </c>
      <c r="CA40" s="87">
        <f>'Res. Tank Design'!$D$52</f>
        <v>10.488088481701515</v>
      </c>
      <c r="CB40" s="87">
        <f>'Res. Tank Design'!$D$52</f>
        <v>10.488088481701515</v>
      </c>
      <c r="CC40" s="87">
        <f>'Res. Tank Design'!$D$52</f>
        <v>10.488088481701515</v>
      </c>
      <c r="CD40" s="87">
        <f>'Res. Tank Design'!$D$52</f>
        <v>10.488088481701515</v>
      </c>
      <c r="CE40" s="87">
        <f>'Res. Tank Design'!$D$52</f>
        <v>10.488088481701515</v>
      </c>
      <c r="CF40" s="87">
        <f>'Res. Tank Design'!$D$52</f>
        <v>10.488088481701515</v>
      </c>
      <c r="CG40" s="87">
        <f>'Res. Tank Design'!$D$52</f>
        <v>10.488088481701515</v>
      </c>
      <c r="CH40" s="87"/>
    </row>
    <row r="41" spans="2:89" ht="16.5" customHeight="1">
      <c r="B41" s="10" t="s">
        <v>799</v>
      </c>
      <c r="C41" s="10">
        <f t="shared" ref="C41:AH41" si="55">(C$40/(C$10^2))*((PI()^2)/4)*(C$12*100/C$39)*(((SIN(C33))^2)/(C$5+C$11*C$6)^2)</f>
        <v>0.76549333845027701</v>
      </c>
      <c r="D41" s="10">
        <f t="shared" si="55"/>
        <v>0.76549333845027701</v>
      </c>
      <c r="E41" s="10">
        <f t="shared" si="55"/>
        <v>0.76549333845027701</v>
      </c>
      <c r="F41" s="10">
        <f t="shared" si="55"/>
        <v>0.76549333845027701</v>
      </c>
      <c r="G41" s="10">
        <f t="shared" si="55"/>
        <v>0.76549333845027701</v>
      </c>
      <c r="H41" s="10">
        <f t="shared" si="55"/>
        <v>0.76549333845027701</v>
      </c>
      <c r="I41" s="10">
        <f t="shared" si="55"/>
        <v>0.76549333845027701</v>
      </c>
      <c r="J41" s="10">
        <f t="shared" si="55"/>
        <v>0.76549333845027701</v>
      </c>
      <c r="K41" s="10">
        <f t="shared" si="55"/>
        <v>0.76549333845027701</v>
      </c>
      <c r="L41" s="10">
        <f t="shared" si="55"/>
        <v>0.76549333845027701</v>
      </c>
      <c r="M41" s="10">
        <f t="shared" si="55"/>
        <v>0.76549333845027701</v>
      </c>
      <c r="N41" s="10">
        <f t="shared" si="55"/>
        <v>0.76549333845027701</v>
      </c>
      <c r="O41" s="10">
        <f t="shared" si="55"/>
        <v>0.76549333845027701</v>
      </c>
      <c r="P41" s="10">
        <f t="shared" si="55"/>
        <v>0.76549333845027701</v>
      </c>
      <c r="Q41" s="10">
        <f t="shared" si="55"/>
        <v>0.76549333845027701</v>
      </c>
      <c r="R41" s="10">
        <f t="shared" si="55"/>
        <v>0.76549333845027701</v>
      </c>
      <c r="S41" s="10">
        <f t="shared" si="55"/>
        <v>0.76549333845027701</v>
      </c>
      <c r="T41" s="10">
        <f t="shared" si="55"/>
        <v>0.76549333845027701</v>
      </c>
      <c r="U41" s="10">
        <f t="shared" si="55"/>
        <v>0.76549333845027701</v>
      </c>
      <c r="V41" s="10">
        <f t="shared" si="55"/>
        <v>0.76549333845027701</v>
      </c>
      <c r="W41" s="10">
        <f t="shared" si="55"/>
        <v>0.76549333845027701</v>
      </c>
      <c r="X41" s="10">
        <f t="shared" si="55"/>
        <v>0.76549333845027701</v>
      </c>
      <c r="Y41" s="10">
        <f t="shared" si="55"/>
        <v>0.76549333845027701</v>
      </c>
      <c r="Z41" s="10">
        <f t="shared" si="55"/>
        <v>0.76549333845027701</v>
      </c>
      <c r="AA41" s="10">
        <f t="shared" si="55"/>
        <v>0.76549333845027701</v>
      </c>
      <c r="AB41" s="10">
        <f t="shared" si="55"/>
        <v>0.76549333845027701</v>
      </c>
      <c r="AC41" s="10">
        <f t="shared" si="55"/>
        <v>0.76549333845027701</v>
      </c>
      <c r="AD41" s="10">
        <f t="shared" si="55"/>
        <v>0.76549333845027701</v>
      </c>
      <c r="AE41" s="10">
        <f t="shared" si="55"/>
        <v>0.76549333845027701</v>
      </c>
      <c r="AF41" s="10">
        <f t="shared" si="55"/>
        <v>0.76549333845027701</v>
      </c>
      <c r="AG41" s="10">
        <f t="shared" si="55"/>
        <v>0.76549333845027701</v>
      </c>
      <c r="AH41" s="10">
        <f t="shared" si="55"/>
        <v>0.76549333845027701</v>
      </c>
      <c r="AI41" s="10">
        <f t="shared" ref="AI41:BN41" si="56">(AI$40/(AI$10^2))*((PI()^2)/4)*(AI$12*100/AI$39)*(((SIN(AI33))^2)/(AI$5+AI$11*AI$6)^2)</f>
        <v>0.76549333845027701</v>
      </c>
      <c r="AJ41" s="10">
        <f t="shared" si="56"/>
        <v>0.76549333845027701</v>
      </c>
      <c r="AK41" s="10">
        <f t="shared" si="56"/>
        <v>0.76549333845027701</v>
      </c>
      <c r="AL41" s="10">
        <f t="shared" si="56"/>
        <v>0.76549333845027701</v>
      </c>
      <c r="AM41" s="10">
        <f t="shared" si="56"/>
        <v>0.76549333845027701</v>
      </c>
      <c r="AN41" s="10">
        <f t="shared" si="56"/>
        <v>0.76549333845027701</v>
      </c>
      <c r="AO41" s="10">
        <f t="shared" si="56"/>
        <v>0.76549333845027701</v>
      </c>
      <c r="AP41" s="10">
        <f t="shared" si="56"/>
        <v>0.76549333845027701</v>
      </c>
      <c r="AQ41" s="10">
        <f t="shared" si="56"/>
        <v>0.76549333845027701</v>
      </c>
      <c r="AR41" s="10">
        <f t="shared" si="56"/>
        <v>0.76549333845027701</v>
      </c>
      <c r="AS41" s="10">
        <f t="shared" si="56"/>
        <v>0.76549333845027701</v>
      </c>
      <c r="AT41" s="10">
        <f t="shared" si="56"/>
        <v>0.76549333845027701</v>
      </c>
      <c r="AU41" s="10">
        <f t="shared" si="56"/>
        <v>0.76549333845027701</v>
      </c>
      <c r="AV41" s="10">
        <f t="shared" si="56"/>
        <v>0.76549333845027701</v>
      </c>
      <c r="AW41" s="10">
        <f t="shared" si="56"/>
        <v>0.76549333845027701</v>
      </c>
      <c r="AX41" s="10">
        <f t="shared" si="56"/>
        <v>0.76549333845027701</v>
      </c>
      <c r="AY41" s="10">
        <f t="shared" si="56"/>
        <v>0.76549333845027701</v>
      </c>
      <c r="AZ41" s="10">
        <f t="shared" si="56"/>
        <v>0.76549333845027701</v>
      </c>
      <c r="BA41" s="10">
        <f t="shared" si="56"/>
        <v>0.76549333845027701</v>
      </c>
      <c r="BB41" s="10">
        <f t="shared" si="56"/>
        <v>0.76549333845027701</v>
      </c>
      <c r="BC41" s="10">
        <f t="shared" si="56"/>
        <v>0.76549333845027701</v>
      </c>
      <c r="BD41" s="10">
        <f t="shared" si="56"/>
        <v>0.76549333845027701</v>
      </c>
      <c r="BE41" s="10">
        <f t="shared" si="56"/>
        <v>0.76549333845027701</v>
      </c>
      <c r="BF41" s="10">
        <f t="shared" si="56"/>
        <v>0.76549333845027701</v>
      </c>
      <c r="BG41" s="10">
        <f t="shared" si="56"/>
        <v>0.76549333845027701</v>
      </c>
      <c r="BH41" s="10">
        <f t="shared" si="56"/>
        <v>0.76549333845027701</v>
      </c>
      <c r="BI41" s="10">
        <f t="shared" si="56"/>
        <v>0.76549333845027701</v>
      </c>
      <c r="BJ41" s="10">
        <f t="shared" si="56"/>
        <v>0.76549333845027701</v>
      </c>
      <c r="BK41" s="10">
        <f t="shared" si="56"/>
        <v>0.76549333845027701</v>
      </c>
      <c r="BL41" s="10">
        <f t="shared" si="56"/>
        <v>0.76549333845027701</v>
      </c>
      <c r="BM41" s="10">
        <f t="shared" si="56"/>
        <v>0.76549333845027701</v>
      </c>
      <c r="BN41" s="10">
        <f t="shared" si="56"/>
        <v>0.76549333845027701</v>
      </c>
      <c r="BO41" s="10">
        <f t="shared" ref="BO41:CG41" si="57">(BO$40/(BO$10^2))*((PI()^2)/4)*(BO$12*100/BO$39)*(((SIN(BO33))^2)/(BO$5+BO$11*BO$6)^2)</f>
        <v>0.76549333845027701</v>
      </c>
      <c r="BP41" s="10">
        <f t="shared" si="57"/>
        <v>0.76549333845027701</v>
      </c>
      <c r="BQ41" s="10">
        <f t="shared" si="57"/>
        <v>0.76549333845027701</v>
      </c>
      <c r="BR41" s="10">
        <f t="shared" si="57"/>
        <v>0.76549333845027701</v>
      </c>
      <c r="BS41" s="10">
        <f t="shared" si="57"/>
        <v>0.76549333845027701</v>
      </c>
      <c r="BT41" s="10">
        <f t="shared" si="57"/>
        <v>0.76549333845027701</v>
      </c>
      <c r="BU41" s="10">
        <f t="shared" si="57"/>
        <v>0.76549333845027701</v>
      </c>
      <c r="BV41" s="10">
        <f t="shared" si="57"/>
        <v>0.76549333845027701</v>
      </c>
      <c r="BW41" s="10">
        <f t="shared" si="57"/>
        <v>0.76549333845027701</v>
      </c>
      <c r="BX41" s="10">
        <f t="shared" si="57"/>
        <v>0.76549333845027701</v>
      </c>
      <c r="BY41" s="10">
        <f t="shared" si="57"/>
        <v>0.76549333845027701</v>
      </c>
      <c r="BZ41" s="10">
        <f t="shared" si="57"/>
        <v>0.76549333845027701</v>
      </c>
      <c r="CA41" s="10">
        <f t="shared" si="57"/>
        <v>0.76549333845027701</v>
      </c>
      <c r="CB41" s="10">
        <f t="shared" si="57"/>
        <v>0.76549333845027701</v>
      </c>
      <c r="CC41" s="10">
        <f t="shared" si="57"/>
        <v>0.76549333845027701</v>
      </c>
      <c r="CD41" s="10">
        <f t="shared" si="57"/>
        <v>0.76549333845027701</v>
      </c>
      <c r="CE41" s="10">
        <f t="shared" si="57"/>
        <v>0.76549333845027701</v>
      </c>
      <c r="CF41" s="10">
        <f t="shared" si="57"/>
        <v>0.76549333845027701</v>
      </c>
      <c r="CG41" s="10">
        <f t="shared" si="57"/>
        <v>0.76549333845027701</v>
      </c>
    </row>
    <row r="42" spans="2:89" ht="16.5" customHeight="1">
      <c r="B42" s="10" t="s">
        <v>800</v>
      </c>
      <c r="C42" s="10">
        <f t="shared" ref="C42:AH42" si="58">(C$40/(C$10^2))*((PI()^2)/4)*(C$12*100/C$39)*(((SIN(C34))^2)/(C$5+C$11*C$6)^2)</f>
        <v>0.71421500798798809</v>
      </c>
      <c r="D42" s="10">
        <f t="shared" si="58"/>
        <v>0.71421500798798809</v>
      </c>
      <c r="E42" s="10">
        <f t="shared" si="58"/>
        <v>0.71421500798798809</v>
      </c>
      <c r="F42" s="10">
        <f t="shared" si="58"/>
        <v>0.71421500798798809</v>
      </c>
      <c r="G42" s="10">
        <f t="shared" si="58"/>
        <v>0.71421500798798809</v>
      </c>
      <c r="H42" s="10">
        <f t="shared" si="58"/>
        <v>0.71421500798798809</v>
      </c>
      <c r="I42" s="10">
        <f t="shared" si="58"/>
        <v>0.71421500798798809</v>
      </c>
      <c r="J42" s="10">
        <f t="shared" si="58"/>
        <v>0.71421500798798809</v>
      </c>
      <c r="K42" s="10">
        <f t="shared" si="58"/>
        <v>0.71421500798798809</v>
      </c>
      <c r="L42" s="10">
        <f t="shared" si="58"/>
        <v>0.71421500798798809</v>
      </c>
      <c r="M42" s="10">
        <f t="shared" si="58"/>
        <v>0.71421500798798809</v>
      </c>
      <c r="N42" s="10">
        <f t="shared" si="58"/>
        <v>0.71421500798798809</v>
      </c>
      <c r="O42" s="10">
        <f t="shared" si="58"/>
        <v>0.71421500798798809</v>
      </c>
      <c r="P42" s="10">
        <f t="shared" si="58"/>
        <v>0.71421500798798809</v>
      </c>
      <c r="Q42" s="10">
        <f t="shared" si="58"/>
        <v>0.71421500798798809</v>
      </c>
      <c r="R42" s="10">
        <f t="shared" si="58"/>
        <v>0.71421500798798809</v>
      </c>
      <c r="S42" s="10">
        <f t="shared" si="58"/>
        <v>0.71421500798798809</v>
      </c>
      <c r="T42" s="10">
        <f t="shared" si="58"/>
        <v>0.71421500798798809</v>
      </c>
      <c r="U42" s="10">
        <f t="shared" si="58"/>
        <v>0.71421500798798809</v>
      </c>
      <c r="V42" s="10">
        <f t="shared" si="58"/>
        <v>0.71421500798798809</v>
      </c>
      <c r="W42" s="10">
        <f t="shared" si="58"/>
        <v>0.71421500798798809</v>
      </c>
      <c r="X42" s="10">
        <f t="shared" si="58"/>
        <v>0.71421500798798809</v>
      </c>
      <c r="Y42" s="10">
        <f t="shared" si="58"/>
        <v>0.71421500798798809</v>
      </c>
      <c r="Z42" s="10">
        <f t="shared" si="58"/>
        <v>0.71421500798798809</v>
      </c>
      <c r="AA42" s="10">
        <f t="shared" si="58"/>
        <v>0.71421500798798809</v>
      </c>
      <c r="AB42" s="10">
        <f t="shared" si="58"/>
        <v>0.71421500798798809</v>
      </c>
      <c r="AC42" s="10">
        <f t="shared" si="58"/>
        <v>0.71421500798798809</v>
      </c>
      <c r="AD42" s="10">
        <f t="shared" si="58"/>
        <v>0.71421500798798809</v>
      </c>
      <c r="AE42" s="10">
        <f t="shared" si="58"/>
        <v>0.71421500798798809</v>
      </c>
      <c r="AF42" s="10">
        <f t="shared" si="58"/>
        <v>0.71421500798798809</v>
      </c>
      <c r="AG42" s="10">
        <f t="shared" si="58"/>
        <v>0.71421500798798809</v>
      </c>
      <c r="AH42" s="10">
        <f t="shared" si="58"/>
        <v>0.71421500798798809</v>
      </c>
      <c r="AI42" s="10">
        <f t="shared" ref="AI42:BN42" si="59">(AI$40/(AI$10^2))*((PI()^2)/4)*(AI$12*100/AI$39)*(((SIN(AI34))^2)/(AI$5+AI$11*AI$6)^2)</f>
        <v>0.71421500798798809</v>
      </c>
      <c r="AJ42" s="10">
        <f t="shared" si="59"/>
        <v>0.71421500798798809</v>
      </c>
      <c r="AK42" s="10">
        <f t="shared" si="59"/>
        <v>0.71421500798798809</v>
      </c>
      <c r="AL42" s="10">
        <f t="shared" si="59"/>
        <v>0.71421500798798809</v>
      </c>
      <c r="AM42" s="10">
        <f t="shared" si="59"/>
        <v>0.71421500798798809</v>
      </c>
      <c r="AN42" s="10">
        <f t="shared" si="59"/>
        <v>0.71421500798798809</v>
      </c>
      <c r="AO42" s="10">
        <f t="shared" si="59"/>
        <v>0.71421500798798809</v>
      </c>
      <c r="AP42" s="10">
        <f t="shared" si="59"/>
        <v>0.71421500798798809</v>
      </c>
      <c r="AQ42" s="10">
        <f t="shared" si="59"/>
        <v>0.71421500798798809</v>
      </c>
      <c r="AR42" s="10">
        <f t="shared" si="59"/>
        <v>0.71421500798798809</v>
      </c>
      <c r="AS42" s="10">
        <f t="shared" si="59"/>
        <v>0.71421500798798809</v>
      </c>
      <c r="AT42" s="10">
        <f t="shared" si="59"/>
        <v>0.71421500798798809</v>
      </c>
      <c r="AU42" s="10">
        <f t="shared" si="59"/>
        <v>0.71421500798798809</v>
      </c>
      <c r="AV42" s="10">
        <f t="shared" si="59"/>
        <v>0.71421500798798809</v>
      </c>
      <c r="AW42" s="10">
        <f t="shared" si="59"/>
        <v>0.71421500798798809</v>
      </c>
      <c r="AX42" s="10">
        <f t="shared" si="59"/>
        <v>0.71421500798798809</v>
      </c>
      <c r="AY42" s="10">
        <f t="shared" si="59"/>
        <v>0.71421500798798809</v>
      </c>
      <c r="AZ42" s="10">
        <f t="shared" si="59"/>
        <v>0.71421500798798809</v>
      </c>
      <c r="BA42" s="10">
        <f t="shared" si="59"/>
        <v>0.71421500798798809</v>
      </c>
      <c r="BB42" s="10">
        <f t="shared" si="59"/>
        <v>0.71421500798798809</v>
      </c>
      <c r="BC42" s="10">
        <f t="shared" si="59"/>
        <v>0.71421500798798809</v>
      </c>
      <c r="BD42" s="10">
        <f t="shared" si="59"/>
        <v>0.71421500798798809</v>
      </c>
      <c r="BE42" s="10">
        <f t="shared" si="59"/>
        <v>0.71421500798798809</v>
      </c>
      <c r="BF42" s="10">
        <f t="shared" si="59"/>
        <v>0.71421500798798809</v>
      </c>
      <c r="BG42" s="10">
        <f t="shared" si="59"/>
        <v>0.71421500798798809</v>
      </c>
      <c r="BH42" s="10">
        <f t="shared" si="59"/>
        <v>0.71421500798798809</v>
      </c>
      <c r="BI42" s="10">
        <f t="shared" si="59"/>
        <v>0.71421500798798809</v>
      </c>
      <c r="BJ42" s="10">
        <f t="shared" si="59"/>
        <v>0.71421500798798809</v>
      </c>
      <c r="BK42" s="10">
        <f t="shared" si="59"/>
        <v>0.71421500798798809</v>
      </c>
      <c r="BL42" s="10">
        <f t="shared" si="59"/>
        <v>0.71421500798798809</v>
      </c>
      <c r="BM42" s="10">
        <f t="shared" si="59"/>
        <v>0.71421500798798809</v>
      </c>
      <c r="BN42" s="10">
        <f t="shared" si="59"/>
        <v>0.71421500798798809</v>
      </c>
      <c r="BO42" s="10">
        <f t="shared" ref="BO42:CG42" si="60">(BO$40/(BO$10^2))*((PI()^2)/4)*(BO$12*100/BO$39)*(((SIN(BO34))^2)/(BO$5+BO$11*BO$6)^2)</f>
        <v>0.71421500798798809</v>
      </c>
      <c r="BP42" s="10">
        <f t="shared" si="60"/>
        <v>0.71421500798798809</v>
      </c>
      <c r="BQ42" s="10">
        <f t="shared" si="60"/>
        <v>0.71421500798798809</v>
      </c>
      <c r="BR42" s="10">
        <f t="shared" si="60"/>
        <v>0.71421500798798809</v>
      </c>
      <c r="BS42" s="10">
        <f t="shared" si="60"/>
        <v>0.71421500798798809</v>
      </c>
      <c r="BT42" s="10">
        <f t="shared" si="60"/>
        <v>0.71421500798798809</v>
      </c>
      <c r="BU42" s="10">
        <f t="shared" si="60"/>
        <v>0.71421500798798809</v>
      </c>
      <c r="BV42" s="10">
        <f t="shared" si="60"/>
        <v>0.71421500798798809</v>
      </c>
      <c r="BW42" s="10">
        <f t="shared" si="60"/>
        <v>0.71421500798798809</v>
      </c>
      <c r="BX42" s="10">
        <f t="shared" si="60"/>
        <v>0.71421500798798809</v>
      </c>
      <c r="BY42" s="10">
        <f t="shared" si="60"/>
        <v>0.71421500798798809</v>
      </c>
      <c r="BZ42" s="10">
        <f t="shared" si="60"/>
        <v>0.71421500798798809</v>
      </c>
      <c r="CA42" s="10">
        <f t="shared" si="60"/>
        <v>0.71421500798798809</v>
      </c>
      <c r="CB42" s="10">
        <f t="shared" si="60"/>
        <v>0.71421500798798809</v>
      </c>
      <c r="CC42" s="10">
        <f t="shared" si="60"/>
        <v>0.71421500798798809</v>
      </c>
      <c r="CD42" s="10">
        <f t="shared" si="60"/>
        <v>0.71421500798798809</v>
      </c>
      <c r="CE42" s="10">
        <f t="shared" si="60"/>
        <v>0.71421500798798809</v>
      </c>
      <c r="CF42" s="10">
        <f t="shared" si="60"/>
        <v>0.71421500798798809</v>
      </c>
      <c r="CG42" s="10">
        <f t="shared" si="60"/>
        <v>0.71421500798798809</v>
      </c>
    </row>
    <row r="43" spans="2:89" ht="16.5" customHeight="1">
      <c r="B43" s="10" t="s">
        <v>801</v>
      </c>
      <c r="C43" s="10">
        <f t="shared" ref="C43:AH43" si="61">(C$40/(C$10^2))*((PI()^2)/4)*(C$12*100/C$39)*(((SIN(C35))^2)/(C$5+C$11*C$6)^2)</f>
        <v>0.57412000383770767</v>
      </c>
      <c r="D43" s="10">
        <f t="shared" si="61"/>
        <v>0.57412000383770767</v>
      </c>
      <c r="E43" s="10">
        <f t="shared" si="61"/>
        <v>0.57412000383770767</v>
      </c>
      <c r="F43" s="10">
        <f t="shared" si="61"/>
        <v>0.57412000383770767</v>
      </c>
      <c r="G43" s="10">
        <f t="shared" si="61"/>
        <v>0.57412000383770767</v>
      </c>
      <c r="H43" s="10">
        <f t="shared" si="61"/>
        <v>0.57412000383770767</v>
      </c>
      <c r="I43" s="10">
        <f t="shared" si="61"/>
        <v>0.57412000383770767</v>
      </c>
      <c r="J43" s="10">
        <f t="shared" si="61"/>
        <v>0.57412000383770767</v>
      </c>
      <c r="K43" s="10">
        <f t="shared" si="61"/>
        <v>0.57412000383770767</v>
      </c>
      <c r="L43" s="10">
        <f t="shared" si="61"/>
        <v>0.57412000383770767</v>
      </c>
      <c r="M43" s="10">
        <f t="shared" si="61"/>
        <v>0.57412000383770767</v>
      </c>
      <c r="N43" s="10">
        <f t="shared" si="61"/>
        <v>0.57412000383770767</v>
      </c>
      <c r="O43" s="10">
        <f t="shared" si="61"/>
        <v>0.57412000383770767</v>
      </c>
      <c r="P43" s="10">
        <f t="shared" si="61"/>
        <v>0.57412000383770767</v>
      </c>
      <c r="Q43" s="10">
        <f t="shared" si="61"/>
        <v>0.57412000383770767</v>
      </c>
      <c r="R43" s="10">
        <f t="shared" si="61"/>
        <v>0.57412000383770767</v>
      </c>
      <c r="S43" s="10">
        <f t="shared" si="61"/>
        <v>0.57412000383770767</v>
      </c>
      <c r="T43" s="10">
        <f t="shared" si="61"/>
        <v>0.57412000383770767</v>
      </c>
      <c r="U43" s="10">
        <f t="shared" si="61"/>
        <v>0.57412000383770767</v>
      </c>
      <c r="V43" s="10">
        <f t="shared" si="61"/>
        <v>0.57412000383770767</v>
      </c>
      <c r="W43" s="10">
        <f t="shared" si="61"/>
        <v>0.57412000383770767</v>
      </c>
      <c r="X43" s="10">
        <f t="shared" si="61"/>
        <v>0.57412000383770767</v>
      </c>
      <c r="Y43" s="10">
        <f t="shared" si="61"/>
        <v>0.57412000383770767</v>
      </c>
      <c r="Z43" s="10">
        <f t="shared" si="61"/>
        <v>0.57412000383770767</v>
      </c>
      <c r="AA43" s="10">
        <f t="shared" si="61"/>
        <v>0.57412000383770767</v>
      </c>
      <c r="AB43" s="10">
        <f t="shared" si="61"/>
        <v>0.57412000383770767</v>
      </c>
      <c r="AC43" s="10">
        <f t="shared" si="61"/>
        <v>0.57412000383770767</v>
      </c>
      <c r="AD43" s="10">
        <f t="shared" si="61"/>
        <v>0.57412000383770767</v>
      </c>
      <c r="AE43" s="10">
        <f t="shared" si="61"/>
        <v>0.57412000383770767</v>
      </c>
      <c r="AF43" s="10">
        <f t="shared" si="61"/>
        <v>0.57412000383770767</v>
      </c>
      <c r="AG43" s="10">
        <f t="shared" si="61"/>
        <v>0.57412000383770767</v>
      </c>
      <c r="AH43" s="10">
        <f t="shared" si="61"/>
        <v>0.57412000383770767</v>
      </c>
      <c r="AI43" s="10">
        <f t="shared" ref="AI43:BN43" si="62">(AI$40/(AI$10^2))*((PI()^2)/4)*(AI$12*100/AI$39)*(((SIN(AI35))^2)/(AI$5+AI$11*AI$6)^2)</f>
        <v>0.57412000383770767</v>
      </c>
      <c r="AJ43" s="10">
        <f t="shared" si="62"/>
        <v>0.57412000383770767</v>
      </c>
      <c r="AK43" s="10">
        <f t="shared" si="62"/>
        <v>0.57412000383770767</v>
      </c>
      <c r="AL43" s="10">
        <f t="shared" si="62"/>
        <v>0.57412000383770767</v>
      </c>
      <c r="AM43" s="10">
        <f t="shared" si="62"/>
        <v>0.57412000383770767</v>
      </c>
      <c r="AN43" s="10">
        <f t="shared" si="62"/>
        <v>0.57412000383770767</v>
      </c>
      <c r="AO43" s="10">
        <f t="shared" si="62"/>
        <v>0.57412000383770767</v>
      </c>
      <c r="AP43" s="10">
        <f t="shared" si="62"/>
        <v>0.57412000383770767</v>
      </c>
      <c r="AQ43" s="10">
        <f t="shared" si="62"/>
        <v>0.57412000383770767</v>
      </c>
      <c r="AR43" s="10">
        <f t="shared" si="62"/>
        <v>0.57412000383770767</v>
      </c>
      <c r="AS43" s="10">
        <f t="shared" si="62"/>
        <v>0.57412000383770767</v>
      </c>
      <c r="AT43" s="10">
        <f t="shared" si="62"/>
        <v>0.57412000383770767</v>
      </c>
      <c r="AU43" s="10">
        <f t="shared" si="62"/>
        <v>0.57412000383770767</v>
      </c>
      <c r="AV43" s="10">
        <f t="shared" si="62"/>
        <v>0.57412000383770767</v>
      </c>
      <c r="AW43" s="10">
        <f t="shared" si="62"/>
        <v>0.57412000383770767</v>
      </c>
      <c r="AX43" s="10">
        <f t="shared" si="62"/>
        <v>0.57412000383770767</v>
      </c>
      <c r="AY43" s="10">
        <f t="shared" si="62"/>
        <v>0.57412000383770767</v>
      </c>
      <c r="AZ43" s="10">
        <f t="shared" si="62"/>
        <v>0.57412000383770767</v>
      </c>
      <c r="BA43" s="10">
        <f t="shared" si="62"/>
        <v>0.57412000383770767</v>
      </c>
      <c r="BB43" s="10">
        <f t="shared" si="62"/>
        <v>0.57412000383770767</v>
      </c>
      <c r="BC43" s="10">
        <f t="shared" si="62"/>
        <v>0.57412000383770767</v>
      </c>
      <c r="BD43" s="10">
        <f t="shared" si="62"/>
        <v>0.57412000383770767</v>
      </c>
      <c r="BE43" s="10">
        <f t="shared" si="62"/>
        <v>0.57412000383770767</v>
      </c>
      <c r="BF43" s="10">
        <f t="shared" si="62"/>
        <v>0.57412000383770767</v>
      </c>
      <c r="BG43" s="10">
        <f t="shared" si="62"/>
        <v>0.57412000383770767</v>
      </c>
      <c r="BH43" s="10">
        <f t="shared" si="62"/>
        <v>0.57412000383770767</v>
      </c>
      <c r="BI43" s="10">
        <f t="shared" si="62"/>
        <v>0.57412000383770767</v>
      </c>
      <c r="BJ43" s="10">
        <f t="shared" si="62"/>
        <v>0.57412000383770767</v>
      </c>
      <c r="BK43" s="10">
        <f t="shared" si="62"/>
        <v>0.57412000383770767</v>
      </c>
      <c r="BL43" s="10">
        <f t="shared" si="62"/>
        <v>0.57412000383770767</v>
      </c>
      <c r="BM43" s="10">
        <f t="shared" si="62"/>
        <v>0.57412000383770767</v>
      </c>
      <c r="BN43" s="10">
        <f t="shared" si="62"/>
        <v>0.57412000383770767</v>
      </c>
      <c r="BO43" s="10">
        <f t="shared" ref="BO43:CG43" si="63">(BO$40/(BO$10^2))*((PI()^2)/4)*(BO$12*100/BO$39)*(((SIN(BO35))^2)/(BO$5+BO$11*BO$6)^2)</f>
        <v>0.57412000383770767</v>
      </c>
      <c r="BP43" s="10">
        <f t="shared" si="63"/>
        <v>0.57412000383770767</v>
      </c>
      <c r="BQ43" s="10">
        <f t="shared" si="63"/>
        <v>0.57412000383770767</v>
      </c>
      <c r="BR43" s="10">
        <f t="shared" si="63"/>
        <v>0.57412000383770767</v>
      </c>
      <c r="BS43" s="10">
        <f t="shared" si="63"/>
        <v>0.57412000383770767</v>
      </c>
      <c r="BT43" s="10">
        <f t="shared" si="63"/>
        <v>0.57412000383770767</v>
      </c>
      <c r="BU43" s="10">
        <f t="shared" si="63"/>
        <v>0.57412000383770767</v>
      </c>
      <c r="BV43" s="10">
        <f t="shared" si="63"/>
        <v>0.57412000383770767</v>
      </c>
      <c r="BW43" s="10">
        <f t="shared" si="63"/>
        <v>0.57412000383770767</v>
      </c>
      <c r="BX43" s="10">
        <f t="shared" si="63"/>
        <v>0.57412000383770767</v>
      </c>
      <c r="BY43" s="10">
        <f t="shared" si="63"/>
        <v>0.57412000383770767</v>
      </c>
      <c r="BZ43" s="10">
        <f t="shared" si="63"/>
        <v>0.57412000383770767</v>
      </c>
      <c r="CA43" s="10">
        <f t="shared" si="63"/>
        <v>0.57412000383770767</v>
      </c>
      <c r="CB43" s="10">
        <f t="shared" si="63"/>
        <v>0.57412000383770767</v>
      </c>
      <c r="CC43" s="10">
        <f t="shared" si="63"/>
        <v>0.57412000383770767</v>
      </c>
      <c r="CD43" s="10">
        <f t="shared" si="63"/>
        <v>0.57412000383770767</v>
      </c>
      <c r="CE43" s="10">
        <f t="shared" si="63"/>
        <v>0.57412000383770767</v>
      </c>
      <c r="CF43" s="10">
        <f t="shared" si="63"/>
        <v>0.57412000383770767</v>
      </c>
      <c r="CG43" s="10">
        <f t="shared" si="63"/>
        <v>0.57412000383770767</v>
      </c>
    </row>
    <row r="44" spans="2:89" ht="16.5" customHeight="1">
      <c r="B44" s="10" t="s">
        <v>802</v>
      </c>
      <c r="C44" s="10">
        <f t="shared" ref="C44:AH44" si="64">(C$40/(C$10^2))*((PI()^2)/4)*(C$12*100/C$39)*(((SIN(C36))^2)/(C$5+C$11*C$6)^2)</f>
        <v>0.38274666922513839</v>
      </c>
      <c r="D44" s="10">
        <f t="shared" si="64"/>
        <v>0.38274666922513839</v>
      </c>
      <c r="E44" s="10">
        <f t="shared" si="64"/>
        <v>0.38274666922513839</v>
      </c>
      <c r="F44" s="10">
        <f t="shared" si="64"/>
        <v>0.38274666922513839</v>
      </c>
      <c r="G44" s="10">
        <f t="shared" si="64"/>
        <v>0.38274666922513839</v>
      </c>
      <c r="H44" s="10">
        <f t="shared" si="64"/>
        <v>0.38274666922513839</v>
      </c>
      <c r="I44" s="10">
        <f t="shared" si="64"/>
        <v>0.38274666922513839</v>
      </c>
      <c r="J44" s="10">
        <f t="shared" si="64"/>
        <v>0.38274666922513839</v>
      </c>
      <c r="K44" s="10">
        <f t="shared" si="64"/>
        <v>0.38274666922513839</v>
      </c>
      <c r="L44" s="10">
        <f t="shared" si="64"/>
        <v>0.38274666922513839</v>
      </c>
      <c r="M44" s="10">
        <f t="shared" si="64"/>
        <v>0.38274666922513839</v>
      </c>
      <c r="N44" s="10">
        <f t="shared" si="64"/>
        <v>0.38274666922513839</v>
      </c>
      <c r="O44" s="10">
        <f t="shared" si="64"/>
        <v>0.38274666922513839</v>
      </c>
      <c r="P44" s="10">
        <f t="shared" si="64"/>
        <v>0.38274666922513839</v>
      </c>
      <c r="Q44" s="10">
        <f t="shared" si="64"/>
        <v>0.38274666922513839</v>
      </c>
      <c r="R44" s="10">
        <f t="shared" si="64"/>
        <v>0.38274666922513839</v>
      </c>
      <c r="S44" s="10">
        <f t="shared" si="64"/>
        <v>0.38274666922513839</v>
      </c>
      <c r="T44" s="10">
        <f t="shared" si="64"/>
        <v>0.38274666922513839</v>
      </c>
      <c r="U44" s="10">
        <f t="shared" si="64"/>
        <v>0.38274666922513839</v>
      </c>
      <c r="V44" s="10">
        <f t="shared" si="64"/>
        <v>0.38274666922513839</v>
      </c>
      <c r="W44" s="10">
        <f t="shared" si="64"/>
        <v>0.38274666922513839</v>
      </c>
      <c r="X44" s="10">
        <f t="shared" si="64"/>
        <v>0.38274666922513839</v>
      </c>
      <c r="Y44" s="10">
        <f t="shared" si="64"/>
        <v>0.38274666922513839</v>
      </c>
      <c r="Z44" s="10">
        <f t="shared" si="64"/>
        <v>0.38274666922513839</v>
      </c>
      <c r="AA44" s="10">
        <f t="shared" si="64"/>
        <v>0.38274666922513839</v>
      </c>
      <c r="AB44" s="10">
        <f t="shared" si="64"/>
        <v>0.38274666922513839</v>
      </c>
      <c r="AC44" s="10">
        <f t="shared" si="64"/>
        <v>0.38274666922513839</v>
      </c>
      <c r="AD44" s="10">
        <f t="shared" si="64"/>
        <v>0.38274666922513839</v>
      </c>
      <c r="AE44" s="10">
        <f t="shared" si="64"/>
        <v>0.38274666922513839</v>
      </c>
      <c r="AF44" s="10">
        <f t="shared" si="64"/>
        <v>0.38274666922513839</v>
      </c>
      <c r="AG44" s="10">
        <f t="shared" si="64"/>
        <v>0.38274666922513839</v>
      </c>
      <c r="AH44" s="10">
        <f t="shared" si="64"/>
        <v>0.38274666922513839</v>
      </c>
      <c r="AI44" s="10">
        <f t="shared" ref="AI44:BN44" si="65">(AI$40/(AI$10^2))*((PI()^2)/4)*(AI$12*100/AI$39)*(((SIN(AI36))^2)/(AI$5+AI$11*AI$6)^2)</f>
        <v>0.38274666922513839</v>
      </c>
      <c r="AJ44" s="10">
        <f t="shared" si="65"/>
        <v>0.38274666922513839</v>
      </c>
      <c r="AK44" s="10">
        <f t="shared" si="65"/>
        <v>0.38274666922513839</v>
      </c>
      <c r="AL44" s="10">
        <f t="shared" si="65"/>
        <v>0.38274666922513839</v>
      </c>
      <c r="AM44" s="10">
        <f t="shared" si="65"/>
        <v>0.38274666922513839</v>
      </c>
      <c r="AN44" s="10">
        <f t="shared" si="65"/>
        <v>0.38274666922513839</v>
      </c>
      <c r="AO44" s="10">
        <f t="shared" si="65"/>
        <v>0.38274666922513839</v>
      </c>
      <c r="AP44" s="10">
        <f t="shared" si="65"/>
        <v>0.38274666922513839</v>
      </c>
      <c r="AQ44" s="10">
        <f t="shared" si="65"/>
        <v>0.38274666922513839</v>
      </c>
      <c r="AR44" s="10">
        <f t="shared" si="65"/>
        <v>0.38274666922513839</v>
      </c>
      <c r="AS44" s="10">
        <f t="shared" si="65"/>
        <v>0.38274666922513839</v>
      </c>
      <c r="AT44" s="10">
        <f t="shared" si="65"/>
        <v>0.38274666922513839</v>
      </c>
      <c r="AU44" s="10">
        <f t="shared" si="65"/>
        <v>0.38274666922513839</v>
      </c>
      <c r="AV44" s="10">
        <f t="shared" si="65"/>
        <v>0.38274666922513839</v>
      </c>
      <c r="AW44" s="10">
        <f t="shared" si="65"/>
        <v>0.38274666922513839</v>
      </c>
      <c r="AX44" s="10">
        <f t="shared" si="65"/>
        <v>0.38274666922513839</v>
      </c>
      <c r="AY44" s="10">
        <f t="shared" si="65"/>
        <v>0.38274666922513839</v>
      </c>
      <c r="AZ44" s="10">
        <f t="shared" si="65"/>
        <v>0.38274666922513839</v>
      </c>
      <c r="BA44" s="10">
        <f t="shared" si="65"/>
        <v>0.38274666922513839</v>
      </c>
      <c r="BB44" s="10">
        <f t="shared" si="65"/>
        <v>0.38274666922513839</v>
      </c>
      <c r="BC44" s="10">
        <f t="shared" si="65"/>
        <v>0.38274666922513839</v>
      </c>
      <c r="BD44" s="10">
        <f t="shared" si="65"/>
        <v>0.38274666922513839</v>
      </c>
      <c r="BE44" s="10">
        <f t="shared" si="65"/>
        <v>0.38274666922513839</v>
      </c>
      <c r="BF44" s="10">
        <f t="shared" si="65"/>
        <v>0.38274666922513839</v>
      </c>
      <c r="BG44" s="10">
        <f t="shared" si="65"/>
        <v>0.38274666922513839</v>
      </c>
      <c r="BH44" s="10">
        <f t="shared" si="65"/>
        <v>0.38274666922513839</v>
      </c>
      <c r="BI44" s="10">
        <f t="shared" si="65"/>
        <v>0.38274666922513839</v>
      </c>
      <c r="BJ44" s="10">
        <f t="shared" si="65"/>
        <v>0.38274666922513839</v>
      </c>
      <c r="BK44" s="10">
        <f t="shared" si="65"/>
        <v>0.38274666922513839</v>
      </c>
      <c r="BL44" s="10">
        <f t="shared" si="65"/>
        <v>0.38274666922513839</v>
      </c>
      <c r="BM44" s="10">
        <f t="shared" si="65"/>
        <v>0.38274666922513839</v>
      </c>
      <c r="BN44" s="10">
        <f t="shared" si="65"/>
        <v>0.38274666922513839</v>
      </c>
      <c r="BO44" s="10">
        <f t="shared" ref="BO44:CG44" si="66">(BO$40/(BO$10^2))*((PI()^2)/4)*(BO$12*100/BO$39)*(((SIN(BO36))^2)/(BO$5+BO$11*BO$6)^2)</f>
        <v>0.38274666922513839</v>
      </c>
      <c r="BP44" s="10">
        <f t="shared" si="66"/>
        <v>0.38274666922513839</v>
      </c>
      <c r="BQ44" s="10">
        <f t="shared" si="66"/>
        <v>0.38274666922513839</v>
      </c>
      <c r="BR44" s="10">
        <f t="shared" si="66"/>
        <v>0.38274666922513839</v>
      </c>
      <c r="BS44" s="10">
        <f t="shared" si="66"/>
        <v>0.38274666922513839</v>
      </c>
      <c r="BT44" s="10">
        <f t="shared" si="66"/>
        <v>0.38274666922513839</v>
      </c>
      <c r="BU44" s="10">
        <f t="shared" si="66"/>
        <v>0.38274666922513839</v>
      </c>
      <c r="BV44" s="10">
        <f t="shared" si="66"/>
        <v>0.38274666922513839</v>
      </c>
      <c r="BW44" s="10">
        <f t="shared" si="66"/>
        <v>0.38274666922513839</v>
      </c>
      <c r="BX44" s="10">
        <f t="shared" si="66"/>
        <v>0.38274666922513839</v>
      </c>
      <c r="BY44" s="10">
        <f t="shared" si="66"/>
        <v>0.38274666922513839</v>
      </c>
      <c r="BZ44" s="10">
        <f t="shared" si="66"/>
        <v>0.38274666922513839</v>
      </c>
      <c r="CA44" s="10">
        <f t="shared" si="66"/>
        <v>0.38274666922513839</v>
      </c>
      <c r="CB44" s="10">
        <f t="shared" si="66"/>
        <v>0.38274666922513839</v>
      </c>
      <c r="CC44" s="10">
        <f t="shared" si="66"/>
        <v>0.38274666922513839</v>
      </c>
      <c r="CD44" s="10">
        <f t="shared" si="66"/>
        <v>0.38274666922513839</v>
      </c>
      <c r="CE44" s="10">
        <f t="shared" si="66"/>
        <v>0.38274666922513839</v>
      </c>
      <c r="CF44" s="10">
        <f t="shared" si="66"/>
        <v>0.38274666922513839</v>
      </c>
      <c r="CG44" s="10">
        <f t="shared" si="66"/>
        <v>0.38274666922513839</v>
      </c>
    </row>
    <row r="45" spans="2:89" ht="16.5" customHeight="1">
      <c r="B45" s="10" t="s">
        <v>803</v>
      </c>
      <c r="C45" s="10">
        <f t="shared" ref="C45:AH45" si="67">(C$40/(C$10^2))*((PI()^2)/4)*(C$12*100/C$39)*(((SIN(C37))^2)/(C$5+C$11*C$6)^2)</f>
        <v>0.1913733346125692</v>
      </c>
      <c r="D45" s="10">
        <f t="shared" si="67"/>
        <v>0.1913733346125692</v>
      </c>
      <c r="E45" s="10">
        <f t="shared" si="67"/>
        <v>0.1913733346125692</v>
      </c>
      <c r="F45" s="10">
        <f t="shared" si="67"/>
        <v>0.1913733346125692</v>
      </c>
      <c r="G45" s="10">
        <f t="shared" si="67"/>
        <v>0.1913733346125692</v>
      </c>
      <c r="H45" s="10">
        <f t="shared" si="67"/>
        <v>0.1913733346125692</v>
      </c>
      <c r="I45" s="10">
        <f t="shared" si="67"/>
        <v>0.1913733346125692</v>
      </c>
      <c r="J45" s="10">
        <f t="shared" si="67"/>
        <v>0.1913733346125692</v>
      </c>
      <c r="K45" s="10">
        <f t="shared" si="67"/>
        <v>0.1913733346125692</v>
      </c>
      <c r="L45" s="10">
        <f t="shared" si="67"/>
        <v>0.1913733346125692</v>
      </c>
      <c r="M45" s="10">
        <f t="shared" si="67"/>
        <v>0.1913733346125692</v>
      </c>
      <c r="N45" s="10">
        <f t="shared" si="67"/>
        <v>0.1913733346125692</v>
      </c>
      <c r="O45" s="10">
        <f t="shared" si="67"/>
        <v>0.1913733346125692</v>
      </c>
      <c r="P45" s="10">
        <f t="shared" si="67"/>
        <v>0.1913733346125692</v>
      </c>
      <c r="Q45" s="10">
        <f t="shared" si="67"/>
        <v>0.1913733346125692</v>
      </c>
      <c r="R45" s="10">
        <f t="shared" si="67"/>
        <v>0.1913733346125692</v>
      </c>
      <c r="S45" s="10">
        <f t="shared" si="67"/>
        <v>0.1913733346125692</v>
      </c>
      <c r="T45" s="10">
        <f t="shared" si="67"/>
        <v>0.1913733346125692</v>
      </c>
      <c r="U45" s="10">
        <f t="shared" si="67"/>
        <v>0.1913733346125692</v>
      </c>
      <c r="V45" s="10">
        <f t="shared" si="67"/>
        <v>0.1913733346125692</v>
      </c>
      <c r="W45" s="10">
        <f t="shared" si="67"/>
        <v>0.1913733346125692</v>
      </c>
      <c r="X45" s="10">
        <f t="shared" si="67"/>
        <v>0.1913733346125692</v>
      </c>
      <c r="Y45" s="10">
        <f t="shared" si="67"/>
        <v>0.1913733346125692</v>
      </c>
      <c r="Z45" s="10">
        <f t="shared" si="67"/>
        <v>0.1913733346125692</v>
      </c>
      <c r="AA45" s="10">
        <f t="shared" si="67"/>
        <v>0.1913733346125692</v>
      </c>
      <c r="AB45" s="10">
        <f t="shared" si="67"/>
        <v>0.1913733346125692</v>
      </c>
      <c r="AC45" s="10">
        <f t="shared" si="67"/>
        <v>0.1913733346125692</v>
      </c>
      <c r="AD45" s="10">
        <f t="shared" si="67"/>
        <v>0.1913733346125692</v>
      </c>
      <c r="AE45" s="10">
        <f t="shared" si="67"/>
        <v>0.1913733346125692</v>
      </c>
      <c r="AF45" s="10">
        <f t="shared" si="67"/>
        <v>0.1913733346125692</v>
      </c>
      <c r="AG45" s="10">
        <f t="shared" si="67"/>
        <v>0.1913733346125692</v>
      </c>
      <c r="AH45" s="10">
        <f t="shared" si="67"/>
        <v>0.1913733346125692</v>
      </c>
      <c r="AI45" s="10">
        <f t="shared" ref="AI45:BN45" si="68">(AI$40/(AI$10^2))*((PI()^2)/4)*(AI$12*100/AI$39)*(((SIN(AI37))^2)/(AI$5+AI$11*AI$6)^2)</f>
        <v>0.1913733346125692</v>
      </c>
      <c r="AJ45" s="10">
        <f t="shared" si="68"/>
        <v>0.1913733346125692</v>
      </c>
      <c r="AK45" s="10">
        <f t="shared" si="68"/>
        <v>0.1913733346125692</v>
      </c>
      <c r="AL45" s="10">
        <f t="shared" si="68"/>
        <v>0.1913733346125692</v>
      </c>
      <c r="AM45" s="10">
        <f t="shared" si="68"/>
        <v>0.1913733346125692</v>
      </c>
      <c r="AN45" s="10">
        <f t="shared" si="68"/>
        <v>0.1913733346125692</v>
      </c>
      <c r="AO45" s="10">
        <f t="shared" si="68"/>
        <v>0.1913733346125692</v>
      </c>
      <c r="AP45" s="10">
        <f t="shared" si="68"/>
        <v>0.1913733346125692</v>
      </c>
      <c r="AQ45" s="10">
        <f t="shared" si="68"/>
        <v>0.1913733346125692</v>
      </c>
      <c r="AR45" s="10">
        <f t="shared" si="68"/>
        <v>0.1913733346125692</v>
      </c>
      <c r="AS45" s="10">
        <f t="shared" si="68"/>
        <v>0.1913733346125692</v>
      </c>
      <c r="AT45" s="10">
        <f t="shared" si="68"/>
        <v>0.1913733346125692</v>
      </c>
      <c r="AU45" s="10">
        <f t="shared" si="68"/>
        <v>0.1913733346125692</v>
      </c>
      <c r="AV45" s="10">
        <f t="shared" si="68"/>
        <v>0.1913733346125692</v>
      </c>
      <c r="AW45" s="10">
        <f t="shared" si="68"/>
        <v>0.1913733346125692</v>
      </c>
      <c r="AX45" s="10">
        <f t="shared" si="68"/>
        <v>0.1913733346125692</v>
      </c>
      <c r="AY45" s="10">
        <f t="shared" si="68"/>
        <v>0.1913733346125692</v>
      </c>
      <c r="AZ45" s="10">
        <f t="shared" si="68"/>
        <v>0.1913733346125692</v>
      </c>
      <c r="BA45" s="10">
        <f t="shared" si="68"/>
        <v>0.1913733346125692</v>
      </c>
      <c r="BB45" s="10">
        <f t="shared" si="68"/>
        <v>0.1913733346125692</v>
      </c>
      <c r="BC45" s="10">
        <f t="shared" si="68"/>
        <v>0.1913733346125692</v>
      </c>
      <c r="BD45" s="10">
        <f t="shared" si="68"/>
        <v>0.1913733346125692</v>
      </c>
      <c r="BE45" s="10">
        <f t="shared" si="68"/>
        <v>0.1913733346125692</v>
      </c>
      <c r="BF45" s="10">
        <f t="shared" si="68"/>
        <v>0.1913733346125692</v>
      </c>
      <c r="BG45" s="10">
        <f t="shared" si="68"/>
        <v>0.1913733346125692</v>
      </c>
      <c r="BH45" s="10">
        <f t="shared" si="68"/>
        <v>0.1913733346125692</v>
      </c>
      <c r="BI45" s="10">
        <f t="shared" si="68"/>
        <v>0.1913733346125692</v>
      </c>
      <c r="BJ45" s="10">
        <f t="shared" si="68"/>
        <v>0.1913733346125692</v>
      </c>
      <c r="BK45" s="10">
        <f t="shared" si="68"/>
        <v>0.1913733346125692</v>
      </c>
      <c r="BL45" s="10">
        <f t="shared" si="68"/>
        <v>0.1913733346125692</v>
      </c>
      <c r="BM45" s="10">
        <f t="shared" si="68"/>
        <v>0.1913733346125692</v>
      </c>
      <c r="BN45" s="10">
        <f t="shared" si="68"/>
        <v>0.1913733346125692</v>
      </c>
      <c r="BO45" s="10">
        <f t="shared" ref="BO45:CG45" si="69">(BO$40/(BO$10^2))*((PI()^2)/4)*(BO$12*100/BO$39)*(((SIN(BO37))^2)/(BO$5+BO$11*BO$6)^2)</f>
        <v>0.1913733346125692</v>
      </c>
      <c r="BP45" s="10">
        <f t="shared" si="69"/>
        <v>0.1913733346125692</v>
      </c>
      <c r="BQ45" s="10">
        <f t="shared" si="69"/>
        <v>0.1913733346125692</v>
      </c>
      <c r="BR45" s="10">
        <f t="shared" si="69"/>
        <v>0.1913733346125692</v>
      </c>
      <c r="BS45" s="10">
        <f t="shared" si="69"/>
        <v>0.1913733346125692</v>
      </c>
      <c r="BT45" s="10">
        <f t="shared" si="69"/>
        <v>0.1913733346125692</v>
      </c>
      <c r="BU45" s="10">
        <f t="shared" si="69"/>
        <v>0.1913733346125692</v>
      </c>
      <c r="BV45" s="10">
        <f t="shared" si="69"/>
        <v>0.1913733346125692</v>
      </c>
      <c r="BW45" s="10">
        <f t="shared" si="69"/>
        <v>0.1913733346125692</v>
      </c>
      <c r="BX45" s="10">
        <f t="shared" si="69"/>
        <v>0.1913733346125692</v>
      </c>
      <c r="BY45" s="10">
        <f t="shared" si="69"/>
        <v>0.1913733346125692</v>
      </c>
      <c r="BZ45" s="10">
        <f t="shared" si="69"/>
        <v>0.1913733346125692</v>
      </c>
      <c r="CA45" s="10">
        <f t="shared" si="69"/>
        <v>0.1913733346125692</v>
      </c>
      <c r="CB45" s="10">
        <f t="shared" si="69"/>
        <v>0.1913733346125692</v>
      </c>
      <c r="CC45" s="10">
        <f t="shared" si="69"/>
        <v>0.1913733346125692</v>
      </c>
      <c r="CD45" s="10">
        <f t="shared" si="69"/>
        <v>0.1913733346125692</v>
      </c>
      <c r="CE45" s="10">
        <f t="shared" si="69"/>
        <v>0.1913733346125692</v>
      </c>
      <c r="CF45" s="10">
        <f t="shared" si="69"/>
        <v>0.1913733346125692</v>
      </c>
      <c r="CG45" s="10">
        <f t="shared" si="69"/>
        <v>0.1913733346125692</v>
      </c>
    </row>
    <row r="46" spans="2:89" ht="16.5" customHeight="1">
      <c r="B46" s="10" t="s">
        <v>804</v>
      </c>
      <c r="C46" s="10">
        <f t="shared" ref="C46:AH46" si="70">(C$40/(C$10^2))*((PI()^2)/4)*(C$12*100/C$39)*(((SIN(C38))^2)/(C$5+C$11*C$6)^2)</f>
        <v>5.127833046228894E-2</v>
      </c>
      <c r="D46" s="10">
        <f t="shared" si="70"/>
        <v>5.127833046228894E-2</v>
      </c>
      <c r="E46" s="10">
        <f t="shared" si="70"/>
        <v>5.127833046228894E-2</v>
      </c>
      <c r="F46" s="10">
        <f t="shared" si="70"/>
        <v>5.127833046228894E-2</v>
      </c>
      <c r="G46" s="10">
        <f t="shared" si="70"/>
        <v>5.127833046228894E-2</v>
      </c>
      <c r="H46" s="10">
        <f t="shared" si="70"/>
        <v>5.127833046228894E-2</v>
      </c>
      <c r="I46" s="10">
        <f t="shared" si="70"/>
        <v>5.127833046228894E-2</v>
      </c>
      <c r="J46" s="10">
        <f t="shared" si="70"/>
        <v>5.127833046228894E-2</v>
      </c>
      <c r="K46" s="10">
        <f t="shared" si="70"/>
        <v>5.127833046228894E-2</v>
      </c>
      <c r="L46" s="10">
        <f t="shared" si="70"/>
        <v>5.127833046228894E-2</v>
      </c>
      <c r="M46" s="10">
        <f t="shared" si="70"/>
        <v>5.127833046228894E-2</v>
      </c>
      <c r="N46" s="10">
        <f t="shared" si="70"/>
        <v>5.127833046228894E-2</v>
      </c>
      <c r="O46" s="10">
        <f t="shared" si="70"/>
        <v>5.127833046228894E-2</v>
      </c>
      <c r="P46" s="10">
        <f t="shared" si="70"/>
        <v>5.127833046228894E-2</v>
      </c>
      <c r="Q46" s="10">
        <f t="shared" si="70"/>
        <v>5.127833046228894E-2</v>
      </c>
      <c r="R46" s="10">
        <f t="shared" si="70"/>
        <v>5.127833046228894E-2</v>
      </c>
      <c r="S46" s="10">
        <f t="shared" si="70"/>
        <v>5.127833046228894E-2</v>
      </c>
      <c r="T46" s="10">
        <f t="shared" si="70"/>
        <v>5.127833046228894E-2</v>
      </c>
      <c r="U46" s="10">
        <f t="shared" si="70"/>
        <v>5.127833046228894E-2</v>
      </c>
      <c r="V46" s="10">
        <f t="shared" si="70"/>
        <v>5.127833046228894E-2</v>
      </c>
      <c r="W46" s="10">
        <f t="shared" si="70"/>
        <v>5.127833046228894E-2</v>
      </c>
      <c r="X46" s="10">
        <f t="shared" si="70"/>
        <v>5.127833046228894E-2</v>
      </c>
      <c r="Y46" s="10">
        <f t="shared" si="70"/>
        <v>5.127833046228894E-2</v>
      </c>
      <c r="Z46" s="10">
        <f t="shared" si="70"/>
        <v>5.127833046228894E-2</v>
      </c>
      <c r="AA46" s="10">
        <f t="shared" si="70"/>
        <v>5.127833046228894E-2</v>
      </c>
      <c r="AB46" s="10">
        <f t="shared" si="70"/>
        <v>5.127833046228894E-2</v>
      </c>
      <c r="AC46" s="10">
        <f t="shared" si="70"/>
        <v>5.127833046228894E-2</v>
      </c>
      <c r="AD46" s="10">
        <f t="shared" si="70"/>
        <v>5.127833046228894E-2</v>
      </c>
      <c r="AE46" s="10">
        <f t="shared" si="70"/>
        <v>5.127833046228894E-2</v>
      </c>
      <c r="AF46" s="10">
        <f t="shared" si="70"/>
        <v>5.127833046228894E-2</v>
      </c>
      <c r="AG46" s="10">
        <f t="shared" si="70"/>
        <v>5.127833046228894E-2</v>
      </c>
      <c r="AH46" s="10">
        <f t="shared" si="70"/>
        <v>5.127833046228894E-2</v>
      </c>
      <c r="AI46" s="10">
        <f t="shared" ref="AI46:BN46" si="71">(AI$40/(AI$10^2))*((PI()^2)/4)*(AI$12*100/AI$39)*(((SIN(AI38))^2)/(AI$5+AI$11*AI$6)^2)</f>
        <v>5.127833046228894E-2</v>
      </c>
      <c r="AJ46" s="10">
        <f t="shared" si="71"/>
        <v>5.127833046228894E-2</v>
      </c>
      <c r="AK46" s="10">
        <f t="shared" si="71"/>
        <v>5.127833046228894E-2</v>
      </c>
      <c r="AL46" s="10">
        <f t="shared" si="71"/>
        <v>5.127833046228894E-2</v>
      </c>
      <c r="AM46" s="10">
        <f t="shared" si="71"/>
        <v>5.127833046228894E-2</v>
      </c>
      <c r="AN46" s="10">
        <f t="shared" si="71"/>
        <v>5.127833046228894E-2</v>
      </c>
      <c r="AO46" s="10">
        <f t="shared" si="71"/>
        <v>5.127833046228894E-2</v>
      </c>
      <c r="AP46" s="10">
        <f t="shared" si="71"/>
        <v>5.127833046228894E-2</v>
      </c>
      <c r="AQ46" s="10">
        <f t="shared" si="71"/>
        <v>5.127833046228894E-2</v>
      </c>
      <c r="AR46" s="10">
        <f t="shared" si="71"/>
        <v>5.127833046228894E-2</v>
      </c>
      <c r="AS46" s="10">
        <f t="shared" si="71"/>
        <v>5.127833046228894E-2</v>
      </c>
      <c r="AT46" s="10">
        <f t="shared" si="71"/>
        <v>5.127833046228894E-2</v>
      </c>
      <c r="AU46" s="10">
        <f t="shared" si="71"/>
        <v>5.127833046228894E-2</v>
      </c>
      <c r="AV46" s="10">
        <f t="shared" si="71"/>
        <v>5.127833046228894E-2</v>
      </c>
      <c r="AW46" s="10">
        <f t="shared" si="71"/>
        <v>5.127833046228894E-2</v>
      </c>
      <c r="AX46" s="10">
        <f t="shared" si="71"/>
        <v>5.127833046228894E-2</v>
      </c>
      <c r="AY46" s="10">
        <f t="shared" si="71"/>
        <v>5.127833046228894E-2</v>
      </c>
      <c r="AZ46" s="10">
        <f t="shared" si="71"/>
        <v>5.127833046228894E-2</v>
      </c>
      <c r="BA46" s="10">
        <f t="shared" si="71"/>
        <v>5.127833046228894E-2</v>
      </c>
      <c r="BB46" s="10">
        <f t="shared" si="71"/>
        <v>5.127833046228894E-2</v>
      </c>
      <c r="BC46" s="10">
        <f t="shared" si="71"/>
        <v>5.127833046228894E-2</v>
      </c>
      <c r="BD46" s="10">
        <f t="shared" si="71"/>
        <v>5.127833046228894E-2</v>
      </c>
      <c r="BE46" s="10">
        <f t="shared" si="71"/>
        <v>5.127833046228894E-2</v>
      </c>
      <c r="BF46" s="10">
        <f t="shared" si="71"/>
        <v>5.127833046228894E-2</v>
      </c>
      <c r="BG46" s="10">
        <f t="shared" si="71"/>
        <v>5.127833046228894E-2</v>
      </c>
      <c r="BH46" s="10">
        <f t="shared" si="71"/>
        <v>5.127833046228894E-2</v>
      </c>
      <c r="BI46" s="10">
        <f t="shared" si="71"/>
        <v>5.127833046228894E-2</v>
      </c>
      <c r="BJ46" s="10">
        <f t="shared" si="71"/>
        <v>5.127833046228894E-2</v>
      </c>
      <c r="BK46" s="10">
        <f t="shared" si="71"/>
        <v>5.127833046228894E-2</v>
      </c>
      <c r="BL46" s="10">
        <f t="shared" si="71"/>
        <v>5.127833046228894E-2</v>
      </c>
      <c r="BM46" s="10">
        <f t="shared" si="71"/>
        <v>5.127833046228894E-2</v>
      </c>
      <c r="BN46" s="10">
        <f t="shared" si="71"/>
        <v>5.127833046228894E-2</v>
      </c>
      <c r="BO46" s="10">
        <f t="shared" ref="BO46:CG46" si="72">(BO$40/(BO$10^2))*((PI()^2)/4)*(BO$12*100/BO$39)*(((SIN(BO38))^2)/(BO$5+BO$11*BO$6)^2)</f>
        <v>5.127833046228894E-2</v>
      </c>
      <c r="BP46" s="10">
        <f t="shared" si="72"/>
        <v>5.127833046228894E-2</v>
      </c>
      <c r="BQ46" s="10">
        <f t="shared" si="72"/>
        <v>5.127833046228894E-2</v>
      </c>
      <c r="BR46" s="10">
        <f t="shared" si="72"/>
        <v>5.127833046228894E-2</v>
      </c>
      <c r="BS46" s="10">
        <f t="shared" si="72"/>
        <v>5.127833046228894E-2</v>
      </c>
      <c r="BT46" s="10">
        <f t="shared" si="72"/>
        <v>5.127833046228894E-2</v>
      </c>
      <c r="BU46" s="10">
        <f t="shared" si="72"/>
        <v>5.127833046228894E-2</v>
      </c>
      <c r="BV46" s="10">
        <f t="shared" si="72"/>
        <v>5.127833046228894E-2</v>
      </c>
      <c r="BW46" s="10">
        <f t="shared" si="72"/>
        <v>5.127833046228894E-2</v>
      </c>
      <c r="BX46" s="10">
        <f t="shared" si="72"/>
        <v>5.127833046228894E-2</v>
      </c>
      <c r="BY46" s="10">
        <f t="shared" si="72"/>
        <v>5.127833046228894E-2</v>
      </c>
      <c r="BZ46" s="10">
        <f t="shared" si="72"/>
        <v>5.127833046228894E-2</v>
      </c>
      <c r="CA46" s="10">
        <f t="shared" si="72"/>
        <v>5.127833046228894E-2</v>
      </c>
      <c r="CB46" s="10">
        <f t="shared" si="72"/>
        <v>5.127833046228894E-2</v>
      </c>
      <c r="CC46" s="10">
        <f t="shared" si="72"/>
        <v>5.127833046228894E-2</v>
      </c>
      <c r="CD46" s="10">
        <f t="shared" si="72"/>
        <v>5.127833046228894E-2</v>
      </c>
      <c r="CE46" s="10">
        <f t="shared" si="72"/>
        <v>5.127833046228894E-2</v>
      </c>
      <c r="CF46" s="10">
        <f t="shared" si="72"/>
        <v>5.127833046228894E-2</v>
      </c>
      <c r="CG46" s="10">
        <f t="shared" si="72"/>
        <v>5.127833046228894E-2</v>
      </c>
      <c r="CH46" s="10" t="s">
        <v>805</v>
      </c>
      <c r="CI46" s="10" t="s">
        <v>806</v>
      </c>
    </row>
    <row r="47" spans="2:89" ht="16.5" customHeight="1">
      <c r="B47" s="10" t="s">
        <v>807</v>
      </c>
      <c r="C47" s="10">
        <f t="shared" ref="C47:AH47" si="73">1/((1+(C$23*(1-(1/(C$25^2)))))^2+(C41*(C$25-(1/C$25)))^2)^0.5</f>
        <v>1.8181818518112688E-8</v>
      </c>
      <c r="D47" s="10">
        <f t="shared" si="73"/>
        <v>4.5832292321620123E-4</v>
      </c>
      <c r="E47" s="10">
        <f t="shared" si="73"/>
        <v>1.6793989054247518E-3</v>
      </c>
      <c r="F47" s="10">
        <f t="shared" si="73"/>
        <v>3.6724062293359639E-3</v>
      </c>
      <c r="G47" s="10">
        <f t="shared" si="73"/>
        <v>6.4467081561650199E-3</v>
      </c>
      <c r="H47" s="10">
        <f t="shared" si="73"/>
        <v>1.0015417261358649E-2</v>
      </c>
      <c r="I47" s="10">
        <f t="shared" si="73"/>
        <v>1.439553484471868E-2</v>
      </c>
      <c r="J47" s="10">
        <f t="shared" si="73"/>
        <v>1.9608132290595135E-2</v>
      </c>
      <c r="K47" s="10">
        <f t="shared" si="73"/>
        <v>2.56785766787716E-2</v>
      </c>
      <c r="L47" s="10">
        <f t="shared" si="73"/>
        <v>3.2636803403865176E-2</v>
      </c>
      <c r="M47" s="10">
        <f t="shared" si="73"/>
        <v>4.0517638966810536E-2</v>
      </c>
      <c r="N47" s="10">
        <f t="shared" si="73"/>
        <v>4.9361177419226791E-2</v>
      </c>
      <c r="O47" s="10">
        <f t="shared" si="73"/>
        <v>5.9213214113198326E-2</v>
      </c>
      <c r="P47" s="10">
        <f t="shared" si="73"/>
        <v>7.0125740349527677E-2</v>
      </c>
      <c r="Q47" s="10">
        <f t="shared" si="73"/>
        <v>8.2157502099890561E-2</v>
      </c>
      <c r="R47" s="10">
        <f t="shared" si="73"/>
        <v>9.5374625016641651E-2</v>
      </c>
      <c r="S47" s="10">
        <f t="shared" si="73"/>
        <v>0.10985130616849878</v>
      </c>
      <c r="T47" s="10">
        <f t="shared" si="73"/>
        <v>0.12567056996237669</v>
      </c>
      <c r="U47" s="10">
        <f t="shared" si="73"/>
        <v>0.14292508097539594</v>
      </c>
      <c r="V47" s="10">
        <f t="shared" si="73"/>
        <v>0.16171799913704785</v>
      </c>
      <c r="W47" s="10">
        <f t="shared" si="73"/>
        <v>0.18216385175704972</v>
      </c>
      <c r="X47" s="10">
        <f t="shared" si="73"/>
        <v>0.20438938073656587</v>
      </c>
      <c r="Y47" s="10">
        <f t="shared" si="73"/>
        <v>0.22853429978785658</v>
      </c>
      <c r="Z47" s="10">
        <f t="shared" si="73"/>
        <v>0.25475186271598577</v>
      </c>
      <c r="AA47" s="10">
        <f t="shared" si="73"/>
        <v>0.28320909593829957</v>
      </c>
      <c r="AB47" s="10">
        <f t="shared" si="73"/>
        <v>0.31408648150778889</v>
      </c>
      <c r="AC47" s="10">
        <f t="shared" si="73"/>
        <v>0.34757678499403233</v>
      </c>
      <c r="AD47" s="10">
        <f t="shared" si="73"/>
        <v>0.38388259907840927</v>
      </c>
      <c r="AE47" s="10">
        <f t="shared" si="73"/>
        <v>0.42321201272926029</v>
      </c>
      <c r="AF47" s="10">
        <f t="shared" si="73"/>
        <v>0.46577161500348857</v>
      </c>
      <c r="AG47" s="10">
        <f t="shared" si="73"/>
        <v>0.51175580887317396</v>
      </c>
      <c r="AH47" s="10">
        <f t="shared" si="73"/>
        <v>0.56133117069622529</v>
      </c>
      <c r="AI47" s="10">
        <f t="shared" ref="AI47:BN47" si="74">1/((1+(AI$23*(1-(1/(AI$25^2)))))^2+(AI41*(AI$25-(1/AI$25)))^2)^0.5</f>
        <v>0.61461440836243908</v>
      </c>
      <c r="AJ47" s="10">
        <f t="shared" si="74"/>
        <v>0.67164247008747713</v>
      </c>
      <c r="AK47" s="10">
        <f t="shared" si="74"/>
        <v>0.73233374997914813</v>
      </c>
      <c r="AL47" s="10">
        <f t="shared" si="74"/>
        <v>0.79644044646153156</v>
      </c>
      <c r="AM47" s="10">
        <f t="shared" si="74"/>
        <v>0.8634943535479308</v>
      </c>
      <c r="AN47" s="10">
        <f t="shared" si="74"/>
        <v>0.93275203656963179</v>
      </c>
      <c r="AO47" s="10">
        <f t="shared" si="74"/>
        <v>1.003150398258156</v>
      </c>
      <c r="AP47" s="10">
        <f t="shared" si="74"/>
        <v>1.0732890703709832</v>
      </c>
      <c r="AQ47" s="10">
        <f t="shared" si="74"/>
        <v>1.1414593842524186</v>
      </c>
      <c r="AR47" s="10">
        <f t="shared" si="74"/>
        <v>1.2057370219642705</v>
      </c>
      <c r="AS47" s="10">
        <f t="shared" si="74"/>
        <v>1.2588847821485556</v>
      </c>
      <c r="AT47" s="10">
        <f t="shared" si="74"/>
        <v>1.3104016183339706</v>
      </c>
      <c r="AU47" s="10">
        <f t="shared" si="74"/>
        <v>1.3529040516280495</v>
      </c>
      <c r="AV47" s="10">
        <f t="shared" si="74"/>
        <v>1.385457051329275</v>
      </c>
      <c r="AW47" s="10">
        <f t="shared" si="74"/>
        <v>1.4077710816753612</v>
      </c>
      <c r="AX47" s="10">
        <f t="shared" si="74"/>
        <v>1.4201880254636952</v>
      </c>
      <c r="AY47" s="10">
        <f t="shared" si="74"/>
        <v>1.4235685714219755</v>
      </c>
      <c r="AZ47" s="10">
        <f t="shared" si="74"/>
        <v>1.4191211922037588</v>
      </c>
      <c r="BA47" s="10">
        <f t="shared" si="74"/>
        <v>1.4082203221791447</v>
      </c>
      <c r="BB47" s="10">
        <f t="shared" si="74"/>
        <v>1.3922509056972197</v>
      </c>
      <c r="BC47" s="10">
        <f t="shared" si="74"/>
        <v>1.3724980006230321</v>
      </c>
      <c r="BD47" s="10">
        <f t="shared" si="74"/>
        <v>1.3500833438619606</v>
      </c>
      <c r="BE47" s="10">
        <f t="shared" si="74"/>
        <v>1.3259405602968872</v>
      </c>
      <c r="BF47" s="10">
        <f t="shared" si="74"/>
        <v>1.3008170907775383</v>
      </c>
      <c r="BG47" s="10">
        <f t="shared" si="74"/>
        <v>1.2752916651194011</v>
      </c>
      <c r="BH47" s="10">
        <f t="shared" si="74"/>
        <v>1.2497988125680326</v>
      </c>
      <c r="BI47" s="10">
        <f t="shared" si="74"/>
        <v>1.2246548353278761</v>
      </c>
      <c r="BJ47" s="10">
        <f t="shared" si="74"/>
        <v>1.2000820844436693</v>
      </c>
      <c r="BK47" s="10">
        <f t="shared" si="74"/>
        <v>1.1762300670096113</v>
      </c>
      <c r="BL47" s="10">
        <f t="shared" si="74"/>
        <v>1.1531929599220219</v>
      </c>
      <c r="BM47" s="10">
        <f t="shared" si="74"/>
        <v>1.1310236789407071</v>
      </c>
      <c r="BN47" s="10">
        <f t="shared" si="74"/>
        <v>1.1097449177704157</v>
      </c>
      <c r="BO47" s="10">
        <f t="shared" ref="BO47:CG47" si="75">1/((1+(BO$23*(1-(1/(BO$25^2)))))^2+(BO41*(BO$25-(1/BO$25)))^2)^0.5</f>
        <v>1.0893576565379341</v>
      </c>
      <c r="BP47" s="10">
        <f t="shared" si="75"/>
        <v>1.0698476274490112</v>
      </c>
      <c r="BQ47" s="10">
        <f t="shared" si="75"/>
        <v>1.0511901697867843</v>
      </c>
      <c r="BR47" s="10">
        <f t="shared" si="75"/>
        <v>1.0333538363307306</v>
      </c>
      <c r="BS47" s="10">
        <f t="shared" si="75"/>
        <v>1.0163030440071044</v>
      </c>
      <c r="BT47" s="10">
        <f t="shared" si="75"/>
        <v>1</v>
      </c>
      <c r="BU47" s="10">
        <f t="shared" si="75"/>
        <v>0.90968639032216814</v>
      </c>
      <c r="BV47" s="10">
        <f t="shared" si="75"/>
        <v>0.8399927850214447</v>
      </c>
      <c r="BW47" s="10">
        <f t="shared" si="75"/>
        <v>0.78427231932097141</v>
      </c>
      <c r="BX47" s="10">
        <f t="shared" si="75"/>
        <v>0.73825211000853397</v>
      </c>
      <c r="BY47" s="10">
        <f t="shared" si="75"/>
        <v>0.69919530506617655</v>
      </c>
      <c r="BZ47" s="10">
        <f t="shared" si="75"/>
        <v>0.66531033193366784</v>
      </c>
      <c r="CA47" s="10">
        <f t="shared" si="75"/>
        <v>0.6353909342997196</v>
      </c>
      <c r="CB47" s="10">
        <f t="shared" si="75"/>
        <v>0.60860111407215811</v>
      </c>
      <c r="CC47" s="10">
        <f t="shared" si="75"/>
        <v>0.58434504373536789</v>
      </c>
      <c r="CD47" s="10">
        <f t="shared" si="75"/>
        <v>0.56218665244279065</v>
      </c>
      <c r="CE47" s="10">
        <f t="shared" si="75"/>
        <v>0.54179872719695321</v>
      </c>
      <c r="CF47" s="10">
        <f t="shared" si="75"/>
        <v>0.52292994137805859</v>
      </c>
      <c r="CG47" s="10">
        <f t="shared" si="75"/>
        <v>0.50538302490712406</v>
      </c>
      <c r="CH47" s="10">
        <f t="array" aca="1" ref="CH47" ca="1">INDIRECT(CI47)</f>
        <v>0.66666666666666774</v>
      </c>
      <c r="CI47" s="10" t="str">
        <f t="shared" ref="CI47:CI52" si="76">ADDRESS(25,CJ47)</f>
        <v>$AW$25</v>
      </c>
      <c r="CJ47" s="10">
        <f t="shared" ref="CJ47:CJ52" si="77">MATCH(CK47,C47:CG47,0)</f>
        <v>49</v>
      </c>
      <c r="CK47" s="10">
        <f t="shared" ref="CK47:CK52" si="78">MAX(C47:CG47)</f>
        <v>1.4235685714219755</v>
      </c>
    </row>
    <row r="48" spans="2:89" ht="16.5" customHeight="1">
      <c r="B48" s="10" t="s">
        <v>808</v>
      </c>
      <c r="C48" s="10">
        <f t="shared" ref="C48:AH48" si="79">1/((1+(C$23*(1-(1/(C$25^2)))))^2+(C42*(C$25-(1/C$25)))^2)^0.5</f>
        <v>1.8181818540915685E-8</v>
      </c>
      <c r="D48" s="10">
        <f t="shared" si="79"/>
        <v>4.5833741309069757E-4</v>
      </c>
      <c r="E48" s="10">
        <f t="shared" si="79"/>
        <v>1.679593459544197E-3</v>
      </c>
      <c r="F48" s="10">
        <f t="shared" si="79"/>
        <v>3.6733365935840644E-3</v>
      </c>
      <c r="G48" s="10">
        <f t="shared" si="79"/>
        <v>6.4495753364591487E-3</v>
      </c>
      <c r="H48" s="10">
        <f t="shared" si="79"/>
        <v>1.002233802789782E-2</v>
      </c>
      <c r="I48" s="10">
        <f t="shared" si="79"/>
        <v>1.4409834319651862E-2</v>
      </c>
      <c r="J48" s="10">
        <f t="shared" si="79"/>
        <v>1.9634666028396815E-2</v>
      </c>
      <c r="K48" s="10">
        <f t="shared" si="79"/>
        <v>2.5724090644370676E-2</v>
      </c>
      <c r="L48" s="10">
        <f t="shared" si="79"/>
        <v>3.2710341542183302E-2</v>
      </c>
      <c r="M48" s="10">
        <f t="shared" si="79"/>
        <v>4.0631009686889555E-2</v>
      </c>
      <c r="N48" s="10">
        <f t="shared" si="79"/>
        <v>4.952949234560599E-2</v>
      </c>
      <c r="O48" s="10">
        <f t="shared" si="79"/>
        <v>5.9455514957060425E-2</v>
      </c>
      <c r="P48" s="10">
        <f t="shared" si="79"/>
        <v>7.0465732803653744E-2</v>
      </c>
      <c r="Q48" s="10">
        <f t="shared" si="79"/>
        <v>8.2624419354507275E-2</v>
      </c>
      <c r="R48" s="10">
        <f t="shared" si="79"/>
        <v>9.6004247920688374E-2</v>
      </c>
      <c r="S48" s="10">
        <f t="shared" si="79"/>
        <v>0.11068717230735056</v>
      </c>
      <c r="T48" s="10">
        <f t="shared" si="79"/>
        <v>0.1267654100442234</v>
      </c>
      <c r="U48" s="10">
        <f t="shared" si="79"/>
        <v>0.14434252790401209</v>
      </c>
      <c r="V48" s="10">
        <f t="shared" si="79"/>
        <v>0.16353462285964784</v>
      </c>
      <c r="W48" s="10">
        <f t="shared" si="79"/>
        <v>0.18447158104026168</v>
      </c>
      <c r="X48" s="10">
        <f t="shared" si="79"/>
        <v>0.20729838066589037</v>
      </c>
      <c r="Y48" s="10">
        <f t="shared" si="79"/>
        <v>0.23217637955531595</v>
      </c>
      <c r="Z48" s="10">
        <f t="shared" si="79"/>
        <v>0.2592844896033879</v>
      </c>
      <c r="AA48" s="10">
        <f t="shared" si="79"/>
        <v>0.2888200840086233</v>
      </c>
      <c r="AB48" s="10">
        <f t="shared" si="79"/>
        <v>0.32099940034111329</v>
      </c>
      <c r="AC48" s="10">
        <f t="shared" si="79"/>
        <v>0.35605708367701128</v>
      </c>
      <c r="AD48" s="10">
        <f t="shared" si="79"/>
        <v>0.39424434640921491</v>
      </c>
      <c r="AE48" s="10">
        <f t="shared" si="79"/>
        <v>0.43582499081781734</v>
      </c>
      <c r="AF48" s="10">
        <f t="shared" si="79"/>
        <v>0.48106823436055701</v>
      </c>
      <c r="AG48" s="10">
        <f t="shared" si="79"/>
        <v>0.53023689206114122</v>
      </c>
      <c r="AH48" s="10">
        <f t="shared" si="79"/>
        <v>0.58356902556746426</v>
      </c>
      <c r="AI48" s="10">
        <f t="shared" ref="AI48:BN48" si="80">1/((1+(AI$23*(1-(1/(AI$25^2)))))^2+(AI42*(AI$25-(1/AI$25)))^2)^0.5</f>
        <v>0.64125073709206448</v>
      </c>
      <c r="AJ48" s="10">
        <f t="shared" si="80"/>
        <v>0.70337754044095846</v>
      </c>
      <c r="AK48" s="10">
        <f t="shared" si="80"/>
        <v>0.76990201745055586</v>
      </c>
      <c r="AL48" s="10">
        <f t="shared" si="80"/>
        <v>0.84056683395942478</v>
      </c>
      <c r="AM48" s="10">
        <f t="shared" si="80"/>
        <v>0.91482544549072842</v>
      </c>
      <c r="AN48" s="10">
        <f t="shared" si="80"/>
        <v>0.99175879740733852</v>
      </c>
      <c r="AO48" s="10">
        <f t="shared" si="80"/>
        <v>1.0700052397362281</v>
      </c>
      <c r="AP48" s="10">
        <f t="shared" si="80"/>
        <v>1.1477311411946298</v>
      </c>
      <c r="AQ48" s="10">
        <f t="shared" si="80"/>
        <v>1.2226764900218845</v>
      </c>
      <c r="AR48" s="10">
        <f t="shared" si="80"/>
        <v>1.2923050074165445</v>
      </c>
      <c r="AS48" s="10">
        <f t="shared" si="80"/>
        <v>1.3485855863753529</v>
      </c>
      <c r="AT48" s="10">
        <f t="shared" si="80"/>
        <v>1.4012839489443272</v>
      </c>
      <c r="AU48" s="10">
        <f t="shared" si="80"/>
        <v>1.4424037142019086</v>
      </c>
      <c r="AV48" s="10">
        <f t="shared" si="80"/>
        <v>1.4711334634117212</v>
      </c>
      <c r="AW48" s="10">
        <f t="shared" si="80"/>
        <v>1.4875839124141979</v>
      </c>
      <c r="AX48" s="10">
        <f t="shared" si="80"/>
        <v>1.4926785294286116</v>
      </c>
      <c r="AY48" s="10">
        <f t="shared" si="80"/>
        <v>1.4879172000943894</v>
      </c>
      <c r="AZ48" s="10">
        <f t="shared" si="80"/>
        <v>1.4750959284911345</v>
      </c>
      <c r="BA48" s="10">
        <f t="shared" si="80"/>
        <v>1.4560564008757213</v>
      </c>
      <c r="BB48" s="10">
        <f t="shared" si="80"/>
        <v>1.4325064797890528</v>
      </c>
      <c r="BC48" s="10">
        <f t="shared" si="80"/>
        <v>1.4059190715076462</v>
      </c>
      <c r="BD48" s="10">
        <f t="shared" si="80"/>
        <v>1.3774955476500645</v>
      </c>
      <c r="BE48" s="10">
        <f t="shared" si="80"/>
        <v>1.3481724453706594</v>
      </c>
      <c r="BF48" s="10">
        <f t="shared" si="80"/>
        <v>1.318651772164257</v>
      </c>
      <c r="BG48" s="10">
        <f t="shared" si="80"/>
        <v>1.2894405481919484</v>
      </c>
      <c r="BH48" s="10">
        <f t="shared" si="80"/>
        <v>1.2608907602083272</v>
      </c>
      <c r="BI48" s="10">
        <f t="shared" si="80"/>
        <v>1.2332351935422452</v>
      </c>
      <c r="BJ48" s="10">
        <f t="shared" si="80"/>
        <v>1.2066174057646348</v>
      </c>
      <c r="BK48" s="10">
        <f t="shared" si="80"/>
        <v>1.1811156894533748</v>
      </c>
      <c r="BL48" s="10">
        <f t="shared" si="80"/>
        <v>1.1567616357744641</v>
      </c>
      <c r="BM48" s="10">
        <f t="shared" si="80"/>
        <v>1.1335541875479884</v>
      </c>
      <c r="BN48" s="10">
        <f t="shared" si="80"/>
        <v>1.1114700896628895</v>
      </c>
      <c r="BO48" s="10">
        <f t="shared" ref="BO48:CG48" si="81">1/((1+(BO$23*(1-(1/(BO$25^2)))))^2+(BO42*(BO$25-(1/BO$25)))^2)^0.5</f>
        <v>1.0904715466573554</v>
      </c>
      <c r="BP48" s="10">
        <f t="shared" si="81"/>
        <v>1.0705117599346663</v>
      </c>
      <c r="BQ48" s="10">
        <f t="shared" si="81"/>
        <v>1.0515388794088789</v>
      </c>
      <c r="BR48" s="10">
        <f t="shared" si="81"/>
        <v>1.033498783107881</v>
      </c>
      <c r="BS48" s="10">
        <f t="shared" si="81"/>
        <v>1.0163369984473469</v>
      </c>
      <c r="BT48" s="10">
        <f t="shared" si="81"/>
        <v>1</v>
      </c>
      <c r="BU48" s="10">
        <f t="shared" si="81"/>
        <v>0.91061537695223727</v>
      </c>
      <c r="BV48" s="10">
        <f t="shared" si="81"/>
        <v>0.84271020324191537</v>
      </c>
      <c r="BW48" s="10">
        <f t="shared" si="81"/>
        <v>0.78893924153237394</v>
      </c>
      <c r="BX48" s="10">
        <f t="shared" si="81"/>
        <v>0.74479203764967084</v>
      </c>
      <c r="BY48" s="10">
        <f t="shared" si="81"/>
        <v>0.70745101400931831</v>
      </c>
      <c r="BZ48" s="10">
        <f t="shared" si="81"/>
        <v>0.67510179345751042</v>
      </c>
      <c r="CA48" s="10">
        <f t="shared" si="81"/>
        <v>0.6465380947453192</v>
      </c>
      <c r="CB48" s="10">
        <f t="shared" si="81"/>
        <v>0.62093313712962694</v>
      </c>
      <c r="CC48" s="10">
        <f t="shared" si="81"/>
        <v>0.59770394135018257</v>
      </c>
      <c r="CD48" s="10">
        <f t="shared" si="81"/>
        <v>0.57642843196424098</v>
      </c>
      <c r="CE48" s="10">
        <f t="shared" si="81"/>
        <v>0.5567933772423872</v>
      </c>
      <c r="CF48" s="10">
        <f t="shared" si="81"/>
        <v>0.53856085557289179</v>
      </c>
      <c r="CG48" s="10">
        <f t="shared" si="81"/>
        <v>0.52154615471975363</v>
      </c>
      <c r="CH48" s="10">
        <f t="array" aca="1" ref="CH48" ca="1">INDIRECT(CI48)</f>
        <v>0.65217391304347938</v>
      </c>
      <c r="CI48" s="10" t="str">
        <f t="shared" si="76"/>
        <v>$AV$25</v>
      </c>
      <c r="CJ48" s="10">
        <f t="shared" si="77"/>
        <v>48</v>
      </c>
      <c r="CK48" s="10">
        <f t="shared" si="78"/>
        <v>1.4926785294286116</v>
      </c>
    </row>
    <row r="49" spans="2:89" ht="16.5" customHeight="1">
      <c r="B49" s="10" t="s">
        <v>809</v>
      </c>
      <c r="C49" s="10">
        <f t="shared" ref="C49:AH49" si="82">1/((1+(C$23*(1-(1/(C$25^2)))))^2+(C43*(C$25-(1/C$25)))^2)^0.5</f>
        <v>1.8181818595157402E-8</v>
      </c>
      <c r="D49" s="10">
        <f t="shared" si="82"/>
        <v>4.5837188582013779E-4</v>
      </c>
      <c r="E49" s="10">
        <f t="shared" si="82"/>
        <v>1.680056519178575E-3</v>
      </c>
      <c r="F49" s="10">
        <f t="shared" si="82"/>
        <v>3.6755525046565144E-3</v>
      </c>
      <c r="G49" s="10">
        <f t="shared" si="82"/>
        <v>6.4564109285917964E-3</v>
      </c>
      <c r="H49" s="10">
        <f t="shared" si="82"/>
        <v>1.0038858347821332E-2</v>
      </c>
      <c r="I49" s="10">
        <f t="shared" si="82"/>
        <v>1.444402059116973E-2</v>
      </c>
      <c r="J49" s="10">
        <f t="shared" si="82"/>
        <v>1.9698217479668809E-2</v>
      </c>
      <c r="K49" s="10">
        <f t="shared" si="82"/>
        <v>2.5833335155507446E-2</v>
      </c>
      <c r="L49" s="10">
        <f t="shared" si="82"/>
        <v>3.2887284541373248E-2</v>
      </c>
      <c r="M49" s="10">
        <f t="shared" si="82"/>
        <v>4.0904556512491849E-2</v>
      </c>
      <c r="N49" s="10">
        <f t="shared" si="82"/>
        <v>4.9936886697674668E-2</v>
      </c>
      <c r="O49" s="10">
        <f t="shared" si="82"/>
        <v>6.0044045473988193E-2</v>
      </c>
      <c r="P49" s="10">
        <f t="shared" si="82"/>
        <v>7.1294771713382415E-2</v>
      </c>
      <c r="Q49" s="10">
        <f t="shared" si="82"/>
        <v>8.3767872188715425E-2</v>
      </c>
      <c r="R49" s="10">
        <f t="shared" si="82"/>
        <v>9.7553512220338715E-2</v>
      </c>
      <c r="S49" s="10">
        <f t="shared" si="82"/>
        <v>0.11275472703849006</v>
      </c>
      <c r="T49" s="10">
        <f t="shared" si="82"/>
        <v>0.12948918721896899</v>
      </c>
      <c r="U49" s="10">
        <f t="shared" si="82"/>
        <v>0.14789125497047451</v>
      </c>
      <c r="V49" s="10">
        <f t="shared" si="82"/>
        <v>0.16811437019924394</v>
      </c>
      <c r="W49" s="10">
        <f t="shared" si="82"/>
        <v>0.19033380473895994</v>
      </c>
      <c r="X49" s="10">
        <f t="shared" si="82"/>
        <v>0.21474981752026126</v>
      </c>
      <c r="Y49" s="10">
        <f t="shared" si="82"/>
        <v>0.24159122878305819</v>
      </c>
      <c r="Z49" s="10">
        <f t="shared" si="82"/>
        <v>0.2711194011620271</v>
      </c>
      <c r="AA49" s="10">
        <f t="shared" si="82"/>
        <v>0.30363255896369062</v>
      </c>
      <c r="AB49" s="10">
        <f t="shared" si="82"/>
        <v>0.33947027710177646</v>
      </c>
      <c r="AC49" s="10">
        <f t="shared" si="82"/>
        <v>0.37901780082939251</v>
      </c>
      <c r="AD49" s="10">
        <f t="shared" si="82"/>
        <v>0.42270957427788897</v>
      </c>
      <c r="AE49" s="10">
        <f t="shared" si="82"/>
        <v>0.47103089552574284</v>
      </c>
      <c r="AF49" s="10">
        <f t="shared" si="82"/>
        <v>0.52451588445922326</v>
      </c>
      <c r="AG49" s="10">
        <f t="shared" si="82"/>
        <v>0.58373881883071432</v>
      </c>
      <c r="AH49" s="10">
        <f t="shared" si="82"/>
        <v>0.64929421093000761</v>
      </c>
      <c r="AI49" s="10">
        <f t="shared" ref="AI49:BN49" si="83">1/((1+(AI$23*(1-(1/(AI$25^2)))))^2+(AI43*(AI$25-(1/AI$25)))^2)^0.5</f>
        <v>0.72175863592546818</v>
      </c>
      <c r="AJ49" s="10">
        <f t="shared" si="83"/>
        <v>0.80162433373528208</v>
      </c>
      <c r="AK49" s="10">
        <f t="shared" si="83"/>
        <v>0.8891915711410272</v>
      </c>
      <c r="AL49" s="10">
        <f t="shared" si="83"/>
        <v>0.98440548302161845</v>
      </c>
      <c r="AM49" s="10">
        <f t="shared" si="83"/>
        <v>1.0866277397279791</v>
      </c>
      <c r="AN49" s="10">
        <f t="shared" si="83"/>
        <v>1.1943512717600773</v>
      </c>
      <c r="AO49" s="10">
        <f t="shared" si="83"/>
        <v>1.3049065701845519</v>
      </c>
      <c r="AP49" s="10">
        <f t="shared" si="83"/>
        <v>1.4142732122266555</v>
      </c>
      <c r="AQ49" s="10">
        <f t="shared" si="83"/>
        <v>1.5171766069899626</v>
      </c>
      <c r="AR49" s="10">
        <f t="shared" si="83"/>
        <v>1.6076491163367854</v>
      </c>
      <c r="AS49" s="10">
        <f t="shared" si="83"/>
        <v>1.6740841537800992</v>
      </c>
      <c r="AT49" s="10">
        <f t="shared" si="83"/>
        <v>1.7266811348984854</v>
      </c>
      <c r="AU49" s="10">
        <f t="shared" si="83"/>
        <v>1.7558083874561934</v>
      </c>
      <c r="AV49" s="10">
        <f t="shared" si="83"/>
        <v>1.762493262434272</v>
      </c>
      <c r="AW49" s="10">
        <f t="shared" si="83"/>
        <v>1.7499354358069985</v>
      </c>
      <c r="AX49" s="10">
        <f t="shared" si="83"/>
        <v>1.7224830600982552</v>
      </c>
      <c r="AY49" s="10">
        <f t="shared" si="83"/>
        <v>1.6846338225428197</v>
      </c>
      <c r="AZ49" s="10">
        <f t="shared" si="83"/>
        <v>1.6403617570001447</v>
      </c>
      <c r="BA49" s="10">
        <f t="shared" si="83"/>
        <v>1.5928177813263098</v>
      </c>
      <c r="BB49" s="10">
        <f t="shared" si="83"/>
        <v>1.5443028042135027</v>
      </c>
      <c r="BC49" s="10">
        <f t="shared" si="83"/>
        <v>1.4963837535366635</v>
      </c>
      <c r="BD49" s="10">
        <f t="shared" si="83"/>
        <v>1.4500561097705056</v>
      </c>
      <c r="BE49" s="10">
        <f t="shared" si="83"/>
        <v>1.4058999619983727</v>
      </c>
      <c r="BF49" s="10">
        <f t="shared" si="83"/>
        <v>1.364208335461129</v>
      </c>
      <c r="BG49" s="10">
        <f t="shared" si="83"/>
        <v>1.3250840803433506</v>
      </c>
      <c r="BH49" s="10">
        <f t="shared" si="83"/>
        <v>1.2885092002392677</v>
      </c>
      <c r="BI49" s="10">
        <f t="shared" si="83"/>
        <v>1.2543926528817593</v>
      </c>
      <c r="BJ49" s="10">
        <f t="shared" si="83"/>
        <v>1.2226023832805584</v>
      </c>
      <c r="BK49" s="10">
        <f t="shared" si="83"/>
        <v>1.1929862604903154</v>
      </c>
      <c r="BL49" s="10">
        <f t="shared" si="83"/>
        <v>1.1653854119376703</v>
      </c>
      <c r="BM49" s="10">
        <f t="shared" si="83"/>
        <v>1.1396424500659237</v>
      </c>
      <c r="BN49" s="10">
        <f t="shared" si="83"/>
        <v>1.1156063219081926</v>
      </c>
      <c r="BO49" s="10">
        <f t="shared" ref="BO49:CG49" si="84">1/((1+(BO$23*(1-(1/(BO$25^2)))))^2+(BO43*(BO$25-(1/BO$25)))^2)^0.5</f>
        <v>1.0931349594595605</v>
      </c>
      <c r="BP49" s="10">
        <f t="shared" si="84"/>
        <v>1.0720965218373424</v>
      </c>
      <c r="BQ49" s="10">
        <f t="shared" si="84"/>
        <v>1.0523697549246271</v>
      </c>
      <c r="BR49" s="10">
        <f t="shared" si="84"/>
        <v>1.0338438146762818</v>
      </c>
      <c r="BS49" s="10">
        <f t="shared" si="84"/>
        <v>1.0164177798840832</v>
      </c>
      <c r="BT49" s="10">
        <f t="shared" si="84"/>
        <v>1</v>
      </c>
      <c r="BU49" s="10">
        <f t="shared" si="84"/>
        <v>0.91283665392785451</v>
      </c>
      <c r="BV49" s="10">
        <f t="shared" si="84"/>
        <v>0.84928162726533984</v>
      </c>
      <c r="BW49" s="10">
        <f t="shared" si="84"/>
        <v>0.80038408901098912</v>
      </c>
      <c r="BX49" s="10">
        <f t="shared" si="84"/>
        <v>0.76107476580529043</v>
      </c>
      <c r="BY49" s="10">
        <f t="shared" si="84"/>
        <v>0.72832711363069746</v>
      </c>
      <c r="BZ49" s="10">
        <f t="shared" si="84"/>
        <v>0.7002478103804145</v>
      </c>
      <c r="CA49" s="10">
        <f t="shared" si="84"/>
        <v>0.67560472236773716</v>
      </c>
      <c r="CB49" s="10">
        <f t="shared" si="84"/>
        <v>0.65356885002387721</v>
      </c>
      <c r="CC49" s="10">
        <f t="shared" si="84"/>
        <v>0.63356636566197178</v>
      </c>
      <c r="CD49" s="10">
        <f t="shared" si="84"/>
        <v>0.61519015487917428</v>
      </c>
      <c r="CE49" s="10">
        <f t="shared" si="84"/>
        <v>0.59814498811579897</v>
      </c>
      <c r="CF49" s="10">
        <f t="shared" si="84"/>
        <v>0.58221246563075635</v>
      </c>
      <c r="CG49" s="10">
        <f t="shared" si="84"/>
        <v>0.56722799898630183</v>
      </c>
      <c r="CH49" s="10">
        <f t="array" aca="1" ref="CH49" ca="1">INDIRECT(CI49)</f>
        <v>0.62318840579710266</v>
      </c>
      <c r="CI49" s="10" t="str">
        <f t="shared" si="76"/>
        <v>$AT$25</v>
      </c>
      <c r="CJ49" s="10">
        <f t="shared" si="77"/>
        <v>46</v>
      </c>
      <c r="CK49" s="10">
        <f t="shared" si="78"/>
        <v>1.762493262434272</v>
      </c>
    </row>
    <row r="50" spans="2:89" ht="16.5" customHeight="1">
      <c r="B50" s="10" t="s">
        <v>810</v>
      </c>
      <c r="C50" s="10">
        <f t="shared" ref="C50:AH50" si="85">1/((1+(C$23*(1-(1/(C$25^2)))))^2+(C44*(C$25-(1/C$25)))^2)^0.5</f>
        <v>1.8181818650189341E-8</v>
      </c>
      <c r="D50" s="10">
        <f t="shared" si="85"/>
        <v>4.5840686871758372E-4</v>
      </c>
      <c r="E50" s="10">
        <f t="shared" si="85"/>
        <v>1.6805267165416486E-3</v>
      </c>
      <c r="F50" s="10">
        <f t="shared" si="85"/>
        <v>3.6778048016004087E-3</v>
      </c>
      <c r="G50" s="10">
        <f t="shared" si="85"/>
        <v>6.4633683645391815E-3</v>
      </c>
      <c r="H50" s="10">
        <f t="shared" si="85"/>
        <v>1.0055703112093996E-2</v>
      </c>
      <c r="I50" s="10">
        <f t="shared" si="85"/>
        <v>1.4478954763366476E-2</v>
      </c>
      <c r="J50" s="10">
        <f t="shared" si="85"/>
        <v>1.9763329584625074E-2</v>
      </c>
      <c r="K50" s="10">
        <f t="shared" si="85"/>
        <v>2.5945605913297972E-2</v>
      </c>
      <c r="L50" s="10">
        <f t="shared" si="85"/>
        <v>3.3069772363104391E-2</v>
      </c>
      <c r="M50" s="10">
        <f t="shared" si="85"/>
        <v>4.118781283153191E-2</v>
      </c>
      <c r="N50" s="10">
        <f t="shared" si="85"/>
        <v>5.0360663831663134E-2</v>
      </c>
      <c r="O50" s="10">
        <f t="shared" si="85"/>
        <v>6.0659376339034607E-2</v>
      </c>
      <c r="P50" s="10">
        <f t="shared" si="85"/>
        <v>7.2166522660376417E-2</v>
      </c>
      <c r="Q50" s="10">
        <f t="shared" si="85"/>
        <v>8.4977899283862027E-2</v>
      </c>
      <c r="R50" s="10">
        <f t="shared" si="85"/>
        <v>9.920458989196794E-2</v>
      </c>
      <c r="S50" s="10">
        <f t="shared" si="85"/>
        <v>0.1149754695249008</v>
      </c>
      <c r="T50" s="10">
        <f t="shared" si="85"/>
        <v>0.13244025232619219</v>
      </c>
      <c r="U50" s="10">
        <f t="shared" si="85"/>
        <v>0.15177321272464672</v>
      </c>
      <c r="V50" s="10">
        <f t="shared" si="85"/>
        <v>0.17317774499488978</v>
      </c>
      <c r="W50" s="10">
        <f t="shared" si="85"/>
        <v>0.19689197095287031</v>
      </c>
      <c r="X50" s="10">
        <f t="shared" si="85"/>
        <v>0.22319566247400879</v>
      </c>
      <c r="Y50" s="10">
        <f t="shared" si="85"/>
        <v>0.25241881706906449</v>
      </c>
      <c r="Z50" s="10">
        <f t="shared" si="85"/>
        <v>0.28495231289617062</v>
      </c>
      <c r="AA50" s="10">
        <f t="shared" si="85"/>
        <v>0.32126117429336976</v>
      </c>
      <c r="AB50" s="10">
        <f t="shared" si="85"/>
        <v>0.36190109481976013</v>
      </c>
      <c r="AC50" s="10">
        <f t="shared" si="85"/>
        <v>0.40753897410240258</v>
      </c>
      <c r="AD50" s="10">
        <f t="shared" si="85"/>
        <v>0.45897828241116134</v>
      </c>
      <c r="AE50" s="10">
        <f t="shared" si="85"/>
        <v>0.51718996968793496</v>
      </c>
      <c r="AF50" s="10">
        <f t="shared" si="85"/>
        <v>0.5833491596157625</v>
      </c>
      <c r="AG50" s="10">
        <f t="shared" si="85"/>
        <v>0.65887654190869349</v>
      </c>
      <c r="AH50" s="10">
        <f t="shared" si="85"/>
        <v>0.74548022513366785</v>
      </c>
      <c r="AI50" s="10">
        <f t="shared" ref="AI50:BN50" si="86">1/((1+(AI$23*(1-(1/(AI$25^2)))))^2+(AI44*(AI$25-(1/AI$25)))^2)^0.5</f>
        <v>0.84518688802202069</v>
      </c>
      <c r="AJ50" s="10">
        <f t="shared" si="86"/>
        <v>0.96033660985440061</v>
      </c>
      <c r="AK50" s="10">
        <f t="shared" si="86"/>
        <v>1.0934870420322842</v>
      </c>
      <c r="AL50" s="10">
        <f t="shared" si="86"/>
        <v>1.2471194244471995</v>
      </c>
      <c r="AM50" s="10">
        <f t="shared" si="86"/>
        <v>1.4229527313694992</v>
      </c>
      <c r="AN50" s="10">
        <f t="shared" si="86"/>
        <v>1.6205722182521185</v>
      </c>
      <c r="AO50" s="10">
        <f t="shared" si="86"/>
        <v>1.8350940556187971</v>
      </c>
      <c r="AP50" s="10">
        <f t="shared" si="86"/>
        <v>2.0541042470596067</v>
      </c>
      <c r="AQ50" s="10">
        <f t="shared" si="86"/>
        <v>2.2556900747479451</v>
      </c>
      <c r="AR50" s="10">
        <f t="shared" si="86"/>
        <v>2.4114726190107914</v>
      </c>
      <c r="AS50" s="10">
        <f t="shared" si="86"/>
        <v>2.492431200683237</v>
      </c>
      <c r="AT50" s="10">
        <f t="shared" si="86"/>
        <v>2.5077143458320568</v>
      </c>
      <c r="AU50" s="10">
        <f t="shared" si="86"/>
        <v>2.4557070906709857</v>
      </c>
      <c r="AV50" s="10">
        <f t="shared" si="86"/>
        <v>2.3587479329276242</v>
      </c>
      <c r="AW50" s="10">
        <f t="shared" si="86"/>
        <v>2.2394919913488485</v>
      </c>
      <c r="AX50" s="10">
        <f t="shared" si="86"/>
        <v>2.1145381110033368</v>
      </c>
      <c r="AY50" s="10">
        <f t="shared" si="86"/>
        <v>1.9936912999610932</v>
      </c>
      <c r="AZ50" s="10">
        <f t="shared" si="86"/>
        <v>1.8817160454773347</v>
      </c>
      <c r="BA50" s="10">
        <f t="shared" si="86"/>
        <v>1.7803116344359531</v>
      </c>
      <c r="BB50" s="10">
        <f t="shared" si="86"/>
        <v>1.6895426577937451</v>
      </c>
      <c r="BC50" s="10">
        <f t="shared" si="86"/>
        <v>1.6087048347459854</v>
      </c>
      <c r="BD50" s="10">
        <f t="shared" si="86"/>
        <v>1.5367986224726884</v>
      </c>
      <c r="BE50" s="10">
        <f t="shared" si="86"/>
        <v>1.4727691980209914</v>
      </c>
      <c r="BF50" s="10">
        <f t="shared" si="86"/>
        <v>1.4156179811292442</v>
      </c>
      <c r="BG50" s="10">
        <f t="shared" si="86"/>
        <v>1.3644471601966837</v>
      </c>
      <c r="BH50" s="10">
        <f t="shared" si="86"/>
        <v>1.3184709374407921</v>
      </c>
      <c r="BI50" s="10">
        <f t="shared" si="86"/>
        <v>1.2770112947302708</v>
      </c>
      <c r="BJ50" s="10">
        <f t="shared" si="86"/>
        <v>1.2394873966388507</v>
      </c>
      <c r="BK50" s="10">
        <f t="shared" si="86"/>
        <v>1.2054031390735622</v>
      </c>
      <c r="BL50" s="10">
        <f t="shared" si="86"/>
        <v>1.174334954868238</v>
      </c>
      <c r="BM50" s="10">
        <f t="shared" si="86"/>
        <v>1.1459207656286929</v>
      </c>
      <c r="BN50" s="10">
        <f t="shared" si="86"/>
        <v>1.119850363196401</v>
      </c>
      <c r="BO50" s="10">
        <f t="shared" ref="BO50:CG50" si="87">1/((1+(BO$23*(1-(1/(BO$25^2)))))^2+(BO44*(BO$25-(1/BO$25)))^2)^0.5</f>
        <v>1.0958572176728973</v>
      </c>
      <c r="BP50" s="10">
        <f t="shared" si="87"/>
        <v>1.0737115857325432</v>
      </c>
      <c r="BQ50" s="10">
        <f t="shared" si="87"/>
        <v>1.0532147511188814</v>
      </c>
      <c r="BR50" s="10">
        <f t="shared" si="87"/>
        <v>1.0341942262453798</v>
      </c>
      <c r="BS50" s="10">
        <f t="shared" si="87"/>
        <v>1.0164997578775112</v>
      </c>
      <c r="BT50" s="10">
        <f t="shared" si="87"/>
        <v>1</v>
      </c>
      <c r="BU50" s="10">
        <f t="shared" si="87"/>
        <v>0.91510698626199538</v>
      </c>
      <c r="BV50" s="10">
        <f t="shared" si="87"/>
        <v>0.85610841584561337</v>
      </c>
      <c r="BW50" s="10">
        <f t="shared" si="87"/>
        <v>0.81252010693316412</v>
      </c>
      <c r="BX50" s="10">
        <f t="shared" si="87"/>
        <v>0.7787367231620731</v>
      </c>
      <c r="BY50" s="10">
        <f t="shared" si="87"/>
        <v>0.75151634906667053</v>
      </c>
      <c r="BZ50" s="10">
        <f t="shared" si="87"/>
        <v>0.72886681138606402</v>
      </c>
      <c r="CA50" s="10">
        <f t="shared" si="87"/>
        <v>0.70950413128758338</v>
      </c>
      <c r="CB50" s="10">
        <f t="shared" si="87"/>
        <v>0.69256857126960825</v>
      </c>
      <c r="CC50" s="10">
        <f t="shared" si="87"/>
        <v>0.67746632421161612</v>
      </c>
      <c r="CD50" s="10">
        <f t="shared" si="87"/>
        <v>0.66377665583003265</v>
      </c>
      <c r="CE50" s="10">
        <f t="shared" si="87"/>
        <v>0.65119506975385066</v>
      </c>
      <c r="CF50" s="10">
        <f t="shared" si="87"/>
        <v>0.63949723943494974</v>
      </c>
      <c r="CG50" s="10">
        <f t="shared" si="87"/>
        <v>0.62851539688113345</v>
      </c>
      <c r="CH50" s="10">
        <f t="array" aca="1" ref="CH50" ca="1">INDIRECT(CI50)</f>
        <v>0.59558339718127062</v>
      </c>
      <c r="CI50" s="10" t="str">
        <f t="shared" si="76"/>
        <v>$AR$25</v>
      </c>
      <c r="CJ50" s="10">
        <f t="shared" si="77"/>
        <v>44</v>
      </c>
      <c r="CK50" s="10">
        <f t="shared" si="78"/>
        <v>2.5077143458320568</v>
      </c>
    </row>
    <row r="51" spans="2:89" ht="16.5" customHeight="1">
      <c r="B51" s="10" t="s">
        <v>811</v>
      </c>
      <c r="C51" s="10">
        <f t="shared" ref="C51:AH51" si="88">1/((1+(C$23*(1-(1/(C$25^2)))))^2+(C45*(C$25-(1/C$25)))^2)^0.5</f>
        <v>1.8181818683208502E-8</v>
      </c>
      <c r="D51" s="10">
        <f t="shared" si="88"/>
        <v>4.5842786230108592E-4</v>
      </c>
      <c r="E51" s="10">
        <f t="shared" si="88"/>
        <v>1.680809024525765E-3</v>
      </c>
      <c r="F51" s="10">
        <f t="shared" si="88"/>
        <v>3.6791581688187568E-3</v>
      </c>
      <c r="G51" s="10">
        <f t="shared" si="88"/>
        <v>6.4675536378133421E-3</v>
      </c>
      <c r="H51" s="10">
        <f t="shared" si="88"/>
        <v>1.0065850763201874E-2</v>
      </c>
      <c r="I51" s="10">
        <f t="shared" si="88"/>
        <v>1.4500037328024774E-2</v>
      </c>
      <c r="J51" s="10">
        <f t="shared" si="88"/>
        <v>1.9802708146396588E-2</v>
      </c>
      <c r="K51" s="10">
        <f t="shared" si="88"/>
        <v>2.6013675074983436E-2</v>
      </c>
      <c r="L51" s="10">
        <f t="shared" si="88"/>
        <v>3.3180734075906049E-2</v>
      </c>
      <c r="M51" s="10">
        <f t="shared" si="88"/>
        <v>4.1360617503397396E-2</v>
      </c>
      <c r="N51" s="10">
        <f t="shared" si="88"/>
        <v>5.0620168032037977E-2</v>
      </c>
      <c r="O51" s="10">
        <f t="shared" si="88"/>
        <v>6.1037781179607425E-2</v>
      </c>
      <c r="P51" s="10">
        <f t="shared" si="88"/>
        <v>7.2705177014256245E-2</v>
      </c>
      <c r="Q51" s="10">
        <f t="shared" si="88"/>
        <v>8.5729579492030902E-2</v>
      </c>
      <c r="R51" s="10">
        <f t="shared" si="88"/>
        <v>0.1002364055054049</v>
      </c>
      <c r="S51" s="10">
        <f t="shared" si="88"/>
        <v>0.11637259733355854</v>
      </c>
      <c r="T51" s="10">
        <f t="shared" si="88"/>
        <v>0.13431077490305471</v>
      </c>
      <c r="U51" s="10">
        <f t="shared" si="88"/>
        <v>0.15425444261028617</v>
      </c>
      <c r="V51" s="10">
        <f t="shared" si="88"/>
        <v>0.17644456601591874</v>
      </c>
      <c r="W51" s="10">
        <f t="shared" si="88"/>
        <v>0.20116794623378534</v>
      </c>
      <c r="X51" s="10">
        <f t="shared" si="88"/>
        <v>0.22876797887303377</v>
      </c>
      <c r="Y51" s="10">
        <f t="shared" si="88"/>
        <v>0.25965861205011592</v>
      </c>
      <c r="Z51" s="10">
        <f t="shared" si="88"/>
        <v>0.29434264824747569</v>
      </c>
      <c r="AA51" s="10">
        <f t="shared" si="88"/>
        <v>0.33343602066797312</v>
      </c>
      <c r="AB51" s="10">
        <f t="shared" si="88"/>
        <v>0.37770040012286643</v>
      </c>
      <c r="AC51" s="10">
        <f t="shared" si="88"/>
        <v>0.42808758812965353</v>
      </c>
      <c r="AD51" s="10">
        <f t="shared" si="88"/>
        <v>0.48580084509958088</v>
      </c>
      <c r="AE51" s="10">
        <f t="shared" si="88"/>
        <v>0.55238095042019719</v>
      </c>
      <c r="AF51" s="10">
        <f t="shared" si="88"/>
        <v>0.62982899295871209</v>
      </c>
      <c r="AG51" s="10">
        <f t="shared" si="88"/>
        <v>0.7207846380132269</v>
      </c>
      <c r="AH51" s="10">
        <f t="shared" si="88"/>
        <v>0.82878951781540189</v>
      </c>
      <c r="AI51" s="10">
        <f t="shared" ref="AI51:BN51" si="89">1/((1+(AI$23*(1-(1/(AI$25^2)))))^2+(AI45*(AI$25-(1/AI$25)))^2)^0.5</f>
        <v>0.95868287624738091</v>
      </c>
      <c r="AJ51" s="10">
        <f t="shared" si="89"/>
        <v>1.1172035613630933</v>
      </c>
      <c r="AK51" s="10">
        <f t="shared" si="89"/>
        <v>1.3139088747558167</v>
      </c>
      <c r="AL51" s="10">
        <f t="shared" si="89"/>
        <v>1.5625468158225397</v>
      </c>
      <c r="AM51" s="10">
        <f t="shared" si="89"/>
        <v>1.8829210089431268</v>
      </c>
      <c r="AN51" s="10">
        <f t="shared" si="89"/>
        <v>2.3025623080152298</v>
      </c>
      <c r="AO51" s="10">
        <f t="shared" si="89"/>
        <v>2.8541702653543934</v>
      </c>
      <c r="AP51" s="10">
        <f t="shared" si="89"/>
        <v>3.5526467080629658</v>
      </c>
      <c r="AQ51" s="10">
        <f t="shared" si="89"/>
        <v>4.3115406961507627</v>
      </c>
      <c r="AR51" s="10">
        <f t="shared" si="89"/>
        <v>4.8229338387300986</v>
      </c>
      <c r="AS51" s="10">
        <f t="shared" si="89"/>
        <v>4.7964520664936154</v>
      </c>
      <c r="AT51" s="10">
        <f t="shared" si="89"/>
        <v>4.3363030058264229</v>
      </c>
      <c r="AU51" s="10">
        <f t="shared" si="89"/>
        <v>3.761051765867053</v>
      </c>
      <c r="AV51" s="10">
        <f t="shared" si="89"/>
        <v>3.2542381457402421</v>
      </c>
      <c r="AW51" s="10">
        <f t="shared" si="89"/>
        <v>2.8502939538269425</v>
      </c>
      <c r="AX51" s="10">
        <f t="shared" si="89"/>
        <v>2.5350026268065511</v>
      </c>
      <c r="AY51" s="10">
        <f t="shared" si="89"/>
        <v>2.2874354250099755</v>
      </c>
      <c r="AZ51" s="10">
        <f t="shared" si="89"/>
        <v>2.0902162845493502</v>
      </c>
      <c r="BA51" s="10">
        <f t="shared" si="89"/>
        <v>1.930528731418979</v>
      </c>
      <c r="BB51" s="10">
        <f t="shared" si="89"/>
        <v>1.7991843520165933</v>
      </c>
      <c r="BC51" s="10">
        <f t="shared" si="89"/>
        <v>1.6895909748234033</v>
      </c>
      <c r="BD51" s="10">
        <f t="shared" si="89"/>
        <v>1.5969647697404956</v>
      </c>
      <c r="BE51" s="10">
        <f t="shared" si="89"/>
        <v>1.5177811362128255</v>
      </c>
      <c r="BF51" s="10">
        <f t="shared" si="89"/>
        <v>1.4494012642991574</v>
      </c>
      <c r="BG51" s="10">
        <f t="shared" si="89"/>
        <v>1.3898183191865823</v>
      </c>
      <c r="BH51" s="10">
        <f t="shared" si="89"/>
        <v>1.3374833436664624</v>
      </c>
      <c r="BI51" s="10">
        <f t="shared" si="89"/>
        <v>1.2911842552749473</v>
      </c>
      <c r="BJ51" s="10">
        <f t="shared" si="89"/>
        <v>1.2499605052668783</v>
      </c>
      <c r="BK51" s="10">
        <f t="shared" si="89"/>
        <v>1.2130419880936867</v>
      </c>
      <c r="BL51" s="10">
        <f t="shared" si="89"/>
        <v>1.1798046725715103</v>
      </c>
      <c r="BM51" s="10">
        <f t="shared" si="89"/>
        <v>1.1497379293773902</v>
      </c>
      <c r="BN51" s="10">
        <f t="shared" si="89"/>
        <v>1.1224201558517746</v>
      </c>
      <c r="BO51" s="10">
        <f t="shared" ref="BO51:CG51" si="90">1/((1+(BO$23*(1-(1/(BO$25^2)))))^2+(BO45*(BO$25-(1/BO$25)))^2)^0.5</f>
        <v>1.0975003673168644</v>
      </c>
      <c r="BP51" s="10">
        <f t="shared" si="90"/>
        <v>1.0746841346688487</v>
      </c>
      <c r="BQ51" s="10">
        <f t="shared" si="90"/>
        <v>1.0537227269029805</v>
      </c>
      <c r="BR51" s="10">
        <f t="shared" si="90"/>
        <v>1.034404644291067</v>
      </c>
      <c r="BS51" s="10">
        <f t="shared" si="90"/>
        <v>1.0165489541956412</v>
      </c>
      <c r="BT51" s="10">
        <f t="shared" si="90"/>
        <v>1</v>
      </c>
      <c r="BU51" s="10">
        <f t="shared" si="90"/>
        <v>0.91647734379833512</v>
      </c>
      <c r="BV51" s="10">
        <f t="shared" si="90"/>
        <v>0.86028436642826533</v>
      </c>
      <c r="BW51" s="10">
        <f t="shared" si="90"/>
        <v>0.82007216894251167</v>
      </c>
      <c r="BX51" s="10">
        <f t="shared" si="90"/>
        <v>0.78994297027907479</v>
      </c>
      <c r="BY51" s="10">
        <f t="shared" si="90"/>
        <v>0.76654024129150122</v>
      </c>
      <c r="BZ51" s="10">
        <f t="shared" si="90"/>
        <v>0.74781967048169329</v>
      </c>
      <c r="CA51" s="10">
        <f t="shared" si="90"/>
        <v>0.73246896067819267</v>
      </c>
      <c r="CB51" s="10">
        <f t="shared" si="90"/>
        <v>0.71960964313210452</v>
      </c>
      <c r="CC51" s="10">
        <f t="shared" si="90"/>
        <v>0.70863319695382398</v>
      </c>
      <c r="CD51" s="10">
        <f t="shared" si="90"/>
        <v>0.69910594845089125</v>
      </c>
      <c r="CE51" s="10">
        <f t="shared" si="90"/>
        <v>0.69071134339154283</v>
      </c>
      <c r="CF51" s="10">
        <f t="shared" si="90"/>
        <v>0.68321355228677327</v>
      </c>
      <c r="CG51" s="10">
        <f t="shared" si="90"/>
        <v>0.67643377084181289</v>
      </c>
      <c r="CH51" s="10">
        <f t="array" aca="1" ref="CH51" ca="1">INDIRECT(CI51)</f>
        <v>0.56659788993489391</v>
      </c>
      <c r="CI51" s="10" t="str">
        <f t="shared" si="76"/>
        <v>$AP$25</v>
      </c>
      <c r="CJ51" s="10">
        <f t="shared" si="77"/>
        <v>42</v>
      </c>
      <c r="CK51" s="10">
        <f t="shared" si="78"/>
        <v>4.8229338387300986</v>
      </c>
    </row>
    <row r="52" spans="2:89" ht="16.5" customHeight="1">
      <c r="B52" s="10" t="s">
        <v>812</v>
      </c>
      <c r="C52" s="10">
        <f t="shared" ref="C52:AH52" si="91">1/((1+(C$23*(1-(1/(C$25^2)))))^2+(C46*(C$25-(1/C$25)))^2)^0.5</f>
        <v>1.8181818693424669E-8</v>
      </c>
      <c r="D52" s="10">
        <f t="shared" si="91"/>
        <v>4.5843435832271153E-4</v>
      </c>
      <c r="E52" s="10">
        <f t="shared" si="91"/>
        <v>1.6808963997436547E-3</v>
      </c>
      <c r="F52" s="10">
        <f t="shared" si="91"/>
        <v>3.6795772048293872E-3</v>
      </c>
      <c r="G52" s="10">
        <f t="shared" si="91"/>
        <v>6.468850213704364E-3</v>
      </c>
      <c r="H52" s="10">
        <f t="shared" si="91"/>
        <v>1.0068996685782837E-2</v>
      </c>
      <c r="I52" s="10">
        <f t="shared" si="91"/>
        <v>1.4506578974327094E-2</v>
      </c>
      <c r="J52" s="10">
        <f t="shared" si="91"/>
        <v>1.9814939677595962E-2</v>
      </c>
      <c r="K52" s="10">
        <f t="shared" si="91"/>
        <v>2.6034844512366762E-2</v>
      </c>
      <c r="L52" s="10">
        <f t="shared" si="91"/>
        <v>3.3215292651968986E-2</v>
      </c>
      <c r="M52" s="10">
        <f t="shared" si="91"/>
        <v>4.141452561275806E-2</v>
      </c>
      <c r="N52" s="10">
        <f t="shared" si="91"/>
        <v>5.0701275092306326E-2</v>
      </c>
      <c r="O52" s="10">
        <f t="shared" si="91"/>
        <v>6.115630218170473E-2</v>
      </c>
      <c r="P52" s="10">
        <f t="shared" si="91"/>
        <v>7.2874296089218679E-2</v>
      </c>
      <c r="Q52" s="10">
        <f t="shared" si="91"/>
        <v>8.5966221316019303E-2</v>
      </c>
      <c r="R52" s="10">
        <f t="shared" si="91"/>
        <v>0.10056223009061122</v>
      </c>
      <c r="S52" s="10">
        <f t="shared" si="91"/>
        <v>0.11681529463037006</v>
      </c>
      <c r="T52" s="10">
        <f t="shared" si="91"/>
        <v>0.13490576557807837</v>
      </c>
      <c r="U52" s="10">
        <f t="shared" si="91"/>
        <v>0.15504713483786065</v>
      </c>
      <c r="V52" s="10">
        <f t="shared" si="91"/>
        <v>0.17749338210736021</v>
      </c>
      <c r="W52" s="10">
        <f t="shared" si="91"/>
        <v>0.20254842850440774</v>
      </c>
      <c r="X52" s="10">
        <f t="shared" si="91"/>
        <v>0.23057842920451235</v>
      </c>
      <c r="Y52" s="10">
        <f t="shared" si="91"/>
        <v>0.26202794361667148</v>
      </c>
      <c r="Z52" s="10">
        <f t="shared" si="91"/>
        <v>0.29744148041600849</v>
      </c>
      <c r="AA52" s="10">
        <f t="shared" si="91"/>
        <v>0.33749261448861423</v>
      </c>
      <c r="AB52" s="10">
        <f t="shared" si="91"/>
        <v>0.38302396270320183</v>
      </c>
      <c r="AC52" s="10">
        <f t="shared" si="91"/>
        <v>0.43510304274158923</v>
      </c>
      <c r="AD52" s="10">
        <f t="shared" si="91"/>
        <v>0.49510188094384222</v>
      </c>
      <c r="AE52" s="10">
        <f t="shared" si="91"/>
        <v>0.5648130192339712</v>
      </c>
      <c r="AF52" s="10">
        <f t="shared" si="91"/>
        <v>0.64662289098622505</v>
      </c>
      <c r="AG52" s="10">
        <f t="shared" si="91"/>
        <v>0.7437785468190482</v>
      </c>
      <c r="AH52" s="10">
        <f t="shared" si="91"/>
        <v>0.86081196116633363</v>
      </c>
      <c r="AI52" s="10">
        <f t="shared" ref="AI52:BN52" si="92">1/((1+(AI$23*(1-(1/(AI$25^2)))))^2+(AI46*(AI$25-(1/AI$25)))^2)^0.5</f>
        <v>1.0042419694825968</v>
      </c>
      <c r="AJ52" s="10">
        <f t="shared" si="92"/>
        <v>1.1837906491406844</v>
      </c>
      <c r="AK52" s="10">
        <f t="shared" si="92"/>
        <v>1.4146122886839632</v>
      </c>
      <c r="AL52" s="10">
        <f t="shared" si="92"/>
        <v>1.7216676300044049</v>
      </c>
      <c r="AM52" s="10">
        <f t="shared" si="92"/>
        <v>2.1490788081090373</v>
      </c>
      <c r="AN52" s="10">
        <f t="shared" si="92"/>
        <v>2.7824786405376583</v>
      </c>
      <c r="AO52" s="10">
        <f t="shared" si="92"/>
        <v>3.8108232187200124</v>
      </c>
      <c r="AP52" s="10">
        <f t="shared" si="92"/>
        <v>5.7338688562032045</v>
      </c>
      <c r="AQ52" s="10">
        <f t="shared" si="92"/>
        <v>10.190403679228808</v>
      </c>
      <c r="AR52" s="10">
        <f t="shared" si="92"/>
        <v>17.998700840265016</v>
      </c>
      <c r="AS52" s="10">
        <f t="shared" si="92"/>
        <v>11.859081679871245</v>
      </c>
      <c r="AT52" s="10">
        <f t="shared" si="92"/>
        <v>6.9952523474549562</v>
      </c>
      <c r="AU52" s="10">
        <f t="shared" si="92"/>
        <v>4.9230339767319631</v>
      </c>
      <c r="AV52" s="10">
        <f t="shared" si="92"/>
        <v>3.8338798462085579</v>
      </c>
      <c r="AW52" s="10">
        <f t="shared" si="92"/>
        <v>3.1704956321284725</v>
      </c>
      <c r="AX52" s="10">
        <f t="shared" si="92"/>
        <v>2.7260912939024418</v>
      </c>
      <c r="AY52" s="10">
        <f t="shared" si="92"/>
        <v>2.4083456594117343</v>
      </c>
      <c r="AZ52" s="10">
        <f t="shared" si="92"/>
        <v>2.1702132430072099</v>
      </c>
      <c r="BA52" s="10">
        <f t="shared" si="92"/>
        <v>1.9852996309653164</v>
      </c>
      <c r="BB52" s="10">
        <f t="shared" si="92"/>
        <v>1.8376824948317485</v>
      </c>
      <c r="BC52" s="10">
        <f t="shared" si="92"/>
        <v>1.7171985669629783</v>
      </c>
      <c r="BD52" s="10">
        <f t="shared" si="92"/>
        <v>1.6170607715209706</v>
      </c>
      <c r="BE52" s="10">
        <f t="shared" si="92"/>
        <v>1.5325661051922344</v>
      </c>
      <c r="BF52" s="10">
        <f t="shared" si="92"/>
        <v>1.4603539055181016</v>
      </c>
      <c r="BG52" s="10">
        <f t="shared" si="92"/>
        <v>1.397959464139912</v>
      </c>
      <c r="BH52" s="10">
        <f t="shared" si="92"/>
        <v>1.3435344711930224</v>
      </c>
      <c r="BI52" s="10">
        <f t="shared" si="92"/>
        <v>1.2956658830985746</v>
      </c>
      <c r="BJ52" s="10">
        <f t="shared" si="92"/>
        <v>1.2532550614963487</v>
      </c>
      <c r="BK52" s="10">
        <f t="shared" si="92"/>
        <v>1.2154350330123953</v>
      </c>
      <c r="BL52" s="10">
        <f t="shared" si="92"/>
        <v>1.181512552441625</v>
      </c>
      <c r="BM52" s="10">
        <f t="shared" si="92"/>
        <v>1.15092671289446</v>
      </c>
      <c r="BN52" s="10">
        <f t="shared" si="92"/>
        <v>1.1232188430807535</v>
      </c>
      <c r="BO52" s="10">
        <f t="shared" ref="BO52:CG52" si="93">1/((1+(BO$23*(1-(1/(BO$25^2)))))^2+(BO46*(BO$25-(1/BO$25)))^2)^0.5</f>
        <v>1.0980102587156375</v>
      </c>
      <c r="BP52" s="10">
        <f t="shared" si="93"/>
        <v>1.0749855780982662</v>
      </c>
      <c r="BQ52" s="10">
        <f t="shared" si="93"/>
        <v>1.0538800441048792</v>
      </c>
      <c r="BR52" s="10">
        <f t="shared" si="93"/>
        <v>1.0344697738820123</v>
      </c>
      <c r="BS52" s="10">
        <f t="shared" si="93"/>
        <v>1.0165641770364198</v>
      </c>
      <c r="BT52" s="10">
        <f t="shared" si="93"/>
        <v>1</v>
      </c>
      <c r="BU52" s="10">
        <f t="shared" si="93"/>
        <v>0.91690258252667989</v>
      </c>
      <c r="BV52" s="10">
        <f t="shared" si="93"/>
        <v>0.86158883998595159</v>
      </c>
      <c r="BW52" s="10">
        <f t="shared" si="93"/>
        <v>0.82245178039805833</v>
      </c>
      <c r="BX52" s="10">
        <f t="shared" si="93"/>
        <v>0.79350940377582413</v>
      </c>
      <c r="BY52" s="10">
        <f t="shared" si="93"/>
        <v>0.77137431778304211</v>
      </c>
      <c r="BZ52" s="10">
        <f t="shared" si="93"/>
        <v>0.75398994852132495</v>
      </c>
      <c r="CA52" s="10">
        <f t="shared" si="93"/>
        <v>0.74003874813678006</v>
      </c>
      <c r="CB52" s="10">
        <f t="shared" si="93"/>
        <v>0.72863973191330955</v>
      </c>
      <c r="CC52" s="10">
        <f t="shared" si="93"/>
        <v>0.71918290581727806</v>
      </c>
      <c r="CD52" s="10">
        <f t="shared" si="93"/>
        <v>0.7112334681046738</v>
      </c>
      <c r="CE52" s="10">
        <f t="shared" si="93"/>
        <v>0.70447379059485216</v>
      </c>
      <c r="CF52" s="10">
        <f t="shared" si="93"/>
        <v>0.69866690669418285</v>
      </c>
      <c r="CG52" s="10">
        <f t="shared" si="93"/>
        <v>0.69363277064424533</v>
      </c>
      <c r="CH52" s="10">
        <f t="array" aca="1" ref="CH52" ca="1">INDIRECT(CI52)</f>
        <v>0.56659788993489391</v>
      </c>
      <c r="CI52" s="10" t="str">
        <f t="shared" si="76"/>
        <v>$AP$25</v>
      </c>
      <c r="CJ52" s="10">
        <f t="shared" si="77"/>
        <v>42</v>
      </c>
      <c r="CK52" s="10">
        <f t="shared" si="78"/>
        <v>17.998700840265016</v>
      </c>
    </row>
    <row r="53" spans="2:89" ht="16.5" customHeight="1">
      <c r="B53" s="10" t="s">
        <v>813</v>
      </c>
      <c r="C53" s="10">
        <f t="shared" ref="C53:AH53" si="94">2*C$10*(C$5+C$11*C$6)/(SQRT(2)*C$7*SIN(C33))</f>
        <v>1.2294081632653062</v>
      </c>
      <c r="D53" s="10">
        <f t="shared" si="94"/>
        <v>1.2294081632653062</v>
      </c>
      <c r="E53" s="10">
        <f t="shared" si="94"/>
        <v>1.2294081632653062</v>
      </c>
      <c r="F53" s="10">
        <f t="shared" si="94"/>
        <v>1.2294081632653062</v>
      </c>
      <c r="G53" s="10">
        <f t="shared" si="94"/>
        <v>1.2294081632653062</v>
      </c>
      <c r="H53" s="10">
        <f t="shared" si="94"/>
        <v>1.2294081632653062</v>
      </c>
      <c r="I53" s="10">
        <f t="shared" si="94"/>
        <v>1.2294081632653062</v>
      </c>
      <c r="J53" s="10">
        <f t="shared" si="94"/>
        <v>1.2294081632653062</v>
      </c>
      <c r="K53" s="10">
        <f t="shared" si="94"/>
        <v>1.2294081632653062</v>
      </c>
      <c r="L53" s="10">
        <f t="shared" si="94"/>
        <v>1.2294081632653062</v>
      </c>
      <c r="M53" s="10">
        <f t="shared" si="94"/>
        <v>1.2294081632653062</v>
      </c>
      <c r="N53" s="10">
        <f t="shared" si="94"/>
        <v>1.2294081632653062</v>
      </c>
      <c r="O53" s="10">
        <f t="shared" si="94"/>
        <v>1.2294081632653062</v>
      </c>
      <c r="P53" s="10">
        <f t="shared" si="94"/>
        <v>1.2294081632653062</v>
      </c>
      <c r="Q53" s="10">
        <f t="shared" si="94"/>
        <v>1.2294081632653062</v>
      </c>
      <c r="R53" s="10">
        <f t="shared" si="94"/>
        <v>1.2294081632653062</v>
      </c>
      <c r="S53" s="10">
        <f t="shared" si="94"/>
        <v>1.2294081632653062</v>
      </c>
      <c r="T53" s="10">
        <f t="shared" si="94"/>
        <v>1.2294081632653062</v>
      </c>
      <c r="U53" s="10">
        <f t="shared" si="94"/>
        <v>1.2294081632653062</v>
      </c>
      <c r="V53" s="10">
        <f t="shared" si="94"/>
        <v>1.2294081632653062</v>
      </c>
      <c r="W53" s="10">
        <f t="shared" si="94"/>
        <v>1.2294081632653062</v>
      </c>
      <c r="X53" s="10">
        <f t="shared" si="94"/>
        <v>1.2294081632653062</v>
      </c>
      <c r="Y53" s="10">
        <f t="shared" si="94"/>
        <v>1.2294081632653062</v>
      </c>
      <c r="Z53" s="10">
        <f t="shared" si="94"/>
        <v>1.2294081632653062</v>
      </c>
      <c r="AA53" s="10">
        <f t="shared" si="94"/>
        <v>1.2294081632653062</v>
      </c>
      <c r="AB53" s="10">
        <f t="shared" si="94"/>
        <v>1.2294081632653062</v>
      </c>
      <c r="AC53" s="10">
        <f t="shared" si="94"/>
        <v>1.2294081632653062</v>
      </c>
      <c r="AD53" s="10">
        <f t="shared" si="94"/>
        <v>1.2294081632653062</v>
      </c>
      <c r="AE53" s="10">
        <f t="shared" si="94"/>
        <v>1.2294081632653062</v>
      </c>
      <c r="AF53" s="10">
        <f t="shared" si="94"/>
        <v>1.2294081632653062</v>
      </c>
      <c r="AG53" s="10">
        <f t="shared" si="94"/>
        <v>1.2294081632653062</v>
      </c>
      <c r="AH53" s="10">
        <f t="shared" si="94"/>
        <v>1.2294081632653062</v>
      </c>
      <c r="AI53" s="10">
        <f t="shared" ref="AI53:BN53" si="95">2*AI$10*(AI$5+AI$11*AI$6)/(SQRT(2)*AI$7*SIN(AI33))</f>
        <v>1.2294081632653062</v>
      </c>
      <c r="AJ53" s="10">
        <f t="shared" si="95"/>
        <v>1.2294081632653062</v>
      </c>
      <c r="AK53" s="10">
        <f t="shared" si="95"/>
        <v>1.2294081632653062</v>
      </c>
      <c r="AL53" s="10">
        <f t="shared" si="95"/>
        <v>1.2294081632653062</v>
      </c>
      <c r="AM53" s="10">
        <f t="shared" si="95"/>
        <v>1.2294081632653062</v>
      </c>
      <c r="AN53" s="10">
        <f t="shared" si="95"/>
        <v>1.2294081632653062</v>
      </c>
      <c r="AO53" s="10">
        <f t="shared" si="95"/>
        <v>1.2294081632653062</v>
      </c>
      <c r="AP53" s="10">
        <f t="shared" si="95"/>
        <v>1.2294081632653062</v>
      </c>
      <c r="AQ53" s="10">
        <f t="shared" si="95"/>
        <v>1.2294081632653062</v>
      </c>
      <c r="AR53" s="10">
        <f t="shared" si="95"/>
        <v>1.2294081632653062</v>
      </c>
      <c r="AS53" s="10">
        <f t="shared" si="95"/>
        <v>1.2294081632653062</v>
      </c>
      <c r="AT53" s="10">
        <f t="shared" si="95"/>
        <v>1.2294081632653062</v>
      </c>
      <c r="AU53" s="10">
        <f t="shared" si="95"/>
        <v>1.2294081632653062</v>
      </c>
      <c r="AV53" s="10">
        <f t="shared" si="95"/>
        <v>1.2294081632653062</v>
      </c>
      <c r="AW53" s="10">
        <f t="shared" si="95"/>
        <v>1.2294081632653062</v>
      </c>
      <c r="AX53" s="10">
        <f t="shared" si="95"/>
        <v>1.2294081632653062</v>
      </c>
      <c r="AY53" s="10">
        <f t="shared" si="95"/>
        <v>1.2294081632653062</v>
      </c>
      <c r="AZ53" s="10">
        <f t="shared" si="95"/>
        <v>1.2294081632653062</v>
      </c>
      <c r="BA53" s="10">
        <f t="shared" si="95"/>
        <v>1.2294081632653062</v>
      </c>
      <c r="BB53" s="10">
        <f t="shared" si="95"/>
        <v>1.2294081632653062</v>
      </c>
      <c r="BC53" s="10">
        <f t="shared" si="95"/>
        <v>1.2294081632653062</v>
      </c>
      <c r="BD53" s="10">
        <f t="shared" si="95"/>
        <v>1.2294081632653062</v>
      </c>
      <c r="BE53" s="10">
        <f t="shared" si="95"/>
        <v>1.2294081632653062</v>
      </c>
      <c r="BF53" s="10">
        <f t="shared" si="95"/>
        <v>1.2294081632653062</v>
      </c>
      <c r="BG53" s="10">
        <f t="shared" si="95"/>
        <v>1.2294081632653062</v>
      </c>
      <c r="BH53" s="10">
        <f t="shared" si="95"/>
        <v>1.2294081632653062</v>
      </c>
      <c r="BI53" s="10">
        <f t="shared" si="95"/>
        <v>1.2294081632653062</v>
      </c>
      <c r="BJ53" s="10">
        <f t="shared" si="95"/>
        <v>1.2294081632653062</v>
      </c>
      <c r="BK53" s="10">
        <f t="shared" si="95"/>
        <v>1.2294081632653062</v>
      </c>
      <c r="BL53" s="10">
        <f t="shared" si="95"/>
        <v>1.2294081632653062</v>
      </c>
      <c r="BM53" s="10">
        <f t="shared" si="95"/>
        <v>1.2294081632653062</v>
      </c>
      <c r="BN53" s="10">
        <f t="shared" si="95"/>
        <v>1.2294081632653062</v>
      </c>
      <c r="BO53" s="10">
        <f t="shared" ref="BO53:CG53" si="96">2*BO$10*(BO$5+BO$11*BO$6)/(SQRT(2)*BO$7*SIN(BO33))</f>
        <v>1.2294081632653062</v>
      </c>
      <c r="BP53" s="10">
        <f t="shared" si="96"/>
        <v>1.2294081632653062</v>
      </c>
      <c r="BQ53" s="10">
        <f t="shared" si="96"/>
        <v>1.2294081632653062</v>
      </c>
      <c r="BR53" s="10">
        <f t="shared" si="96"/>
        <v>1.2294081632653062</v>
      </c>
      <c r="BS53" s="10">
        <f t="shared" si="96"/>
        <v>1.2294081632653062</v>
      </c>
      <c r="BT53" s="10">
        <f t="shared" si="96"/>
        <v>1.2294081632653062</v>
      </c>
      <c r="BU53" s="10">
        <f t="shared" si="96"/>
        <v>1.2294081632653062</v>
      </c>
      <c r="BV53" s="10">
        <f t="shared" si="96"/>
        <v>1.2294081632653062</v>
      </c>
      <c r="BW53" s="10">
        <f t="shared" si="96"/>
        <v>1.2294081632653062</v>
      </c>
      <c r="BX53" s="10">
        <f t="shared" si="96"/>
        <v>1.2294081632653062</v>
      </c>
      <c r="BY53" s="10">
        <f t="shared" si="96"/>
        <v>1.2294081632653062</v>
      </c>
      <c r="BZ53" s="10">
        <f t="shared" si="96"/>
        <v>1.2294081632653062</v>
      </c>
      <c r="CA53" s="10">
        <f t="shared" si="96"/>
        <v>1.2294081632653062</v>
      </c>
      <c r="CB53" s="10">
        <f t="shared" si="96"/>
        <v>1.2294081632653062</v>
      </c>
      <c r="CC53" s="10">
        <f t="shared" si="96"/>
        <v>1.2294081632653062</v>
      </c>
      <c r="CD53" s="10">
        <f t="shared" si="96"/>
        <v>1.2294081632653062</v>
      </c>
      <c r="CE53" s="10">
        <f t="shared" si="96"/>
        <v>1.2294081632653062</v>
      </c>
      <c r="CF53" s="10">
        <f t="shared" si="96"/>
        <v>1.2294081632653062</v>
      </c>
      <c r="CG53" s="10">
        <f t="shared" si="96"/>
        <v>1.2294081632653062</v>
      </c>
    </row>
    <row r="54" spans="2:89" ht="16.5" customHeight="1">
      <c r="B54" s="10" t="s">
        <v>814</v>
      </c>
      <c r="C54" s="10">
        <f t="shared" ref="C54:AH54" si="97">2*C$10*(C$5+C$11*C$6)/(SQRT(2)*C$7*SIN(C34))</f>
        <v>1.2727769874302819</v>
      </c>
      <c r="D54" s="10">
        <f t="shared" si="97"/>
        <v>1.2727769874302819</v>
      </c>
      <c r="E54" s="10">
        <f t="shared" si="97"/>
        <v>1.2727769874302819</v>
      </c>
      <c r="F54" s="10">
        <f t="shared" si="97"/>
        <v>1.2727769874302819</v>
      </c>
      <c r="G54" s="10">
        <f t="shared" si="97"/>
        <v>1.2727769874302819</v>
      </c>
      <c r="H54" s="10">
        <f t="shared" si="97"/>
        <v>1.2727769874302819</v>
      </c>
      <c r="I54" s="10">
        <f t="shared" si="97"/>
        <v>1.2727769874302819</v>
      </c>
      <c r="J54" s="10">
        <f t="shared" si="97"/>
        <v>1.2727769874302819</v>
      </c>
      <c r="K54" s="10">
        <f t="shared" si="97"/>
        <v>1.2727769874302819</v>
      </c>
      <c r="L54" s="10">
        <f t="shared" si="97"/>
        <v>1.2727769874302819</v>
      </c>
      <c r="M54" s="10">
        <f t="shared" si="97"/>
        <v>1.2727769874302819</v>
      </c>
      <c r="N54" s="10">
        <f t="shared" si="97"/>
        <v>1.2727769874302819</v>
      </c>
      <c r="O54" s="10">
        <f t="shared" si="97"/>
        <v>1.2727769874302819</v>
      </c>
      <c r="P54" s="10">
        <f t="shared" si="97"/>
        <v>1.2727769874302819</v>
      </c>
      <c r="Q54" s="10">
        <f t="shared" si="97"/>
        <v>1.2727769874302819</v>
      </c>
      <c r="R54" s="10">
        <f t="shared" si="97"/>
        <v>1.2727769874302819</v>
      </c>
      <c r="S54" s="10">
        <f t="shared" si="97"/>
        <v>1.2727769874302819</v>
      </c>
      <c r="T54" s="10">
        <f t="shared" si="97"/>
        <v>1.2727769874302819</v>
      </c>
      <c r="U54" s="10">
        <f t="shared" si="97"/>
        <v>1.2727769874302819</v>
      </c>
      <c r="V54" s="10">
        <f t="shared" si="97"/>
        <v>1.2727769874302819</v>
      </c>
      <c r="W54" s="10">
        <f t="shared" si="97"/>
        <v>1.2727769874302819</v>
      </c>
      <c r="X54" s="10">
        <f t="shared" si="97"/>
        <v>1.2727769874302819</v>
      </c>
      <c r="Y54" s="10">
        <f t="shared" si="97"/>
        <v>1.2727769874302819</v>
      </c>
      <c r="Z54" s="10">
        <f t="shared" si="97"/>
        <v>1.2727769874302819</v>
      </c>
      <c r="AA54" s="10">
        <f t="shared" si="97"/>
        <v>1.2727769874302819</v>
      </c>
      <c r="AB54" s="10">
        <f t="shared" si="97"/>
        <v>1.2727769874302819</v>
      </c>
      <c r="AC54" s="10">
        <f t="shared" si="97"/>
        <v>1.2727769874302819</v>
      </c>
      <c r="AD54" s="10">
        <f t="shared" si="97"/>
        <v>1.2727769874302819</v>
      </c>
      <c r="AE54" s="10">
        <f t="shared" si="97"/>
        <v>1.2727769874302819</v>
      </c>
      <c r="AF54" s="10">
        <f t="shared" si="97"/>
        <v>1.2727769874302819</v>
      </c>
      <c r="AG54" s="10">
        <f t="shared" si="97"/>
        <v>1.2727769874302819</v>
      </c>
      <c r="AH54" s="10">
        <f t="shared" si="97"/>
        <v>1.2727769874302819</v>
      </c>
      <c r="AI54" s="10">
        <f t="shared" ref="AI54:BN54" si="98">2*AI$10*(AI$5+AI$11*AI$6)/(SQRT(2)*AI$7*SIN(AI34))</f>
        <v>1.2727769874302819</v>
      </c>
      <c r="AJ54" s="10">
        <f t="shared" si="98"/>
        <v>1.2727769874302819</v>
      </c>
      <c r="AK54" s="10">
        <f t="shared" si="98"/>
        <v>1.2727769874302819</v>
      </c>
      <c r="AL54" s="10">
        <f t="shared" si="98"/>
        <v>1.2727769874302819</v>
      </c>
      <c r="AM54" s="10">
        <f t="shared" si="98"/>
        <v>1.2727769874302819</v>
      </c>
      <c r="AN54" s="10">
        <f t="shared" si="98"/>
        <v>1.2727769874302819</v>
      </c>
      <c r="AO54" s="10">
        <f t="shared" si="98"/>
        <v>1.2727769874302819</v>
      </c>
      <c r="AP54" s="10">
        <f t="shared" si="98"/>
        <v>1.2727769874302819</v>
      </c>
      <c r="AQ54" s="10">
        <f t="shared" si="98"/>
        <v>1.2727769874302819</v>
      </c>
      <c r="AR54" s="10">
        <f t="shared" si="98"/>
        <v>1.2727769874302819</v>
      </c>
      <c r="AS54" s="10">
        <f t="shared" si="98"/>
        <v>1.2727769874302819</v>
      </c>
      <c r="AT54" s="10">
        <f t="shared" si="98"/>
        <v>1.2727769874302819</v>
      </c>
      <c r="AU54" s="10">
        <f t="shared" si="98"/>
        <v>1.2727769874302819</v>
      </c>
      <c r="AV54" s="10">
        <f t="shared" si="98"/>
        <v>1.2727769874302819</v>
      </c>
      <c r="AW54" s="10">
        <f t="shared" si="98"/>
        <v>1.2727769874302819</v>
      </c>
      <c r="AX54" s="10">
        <f t="shared" si="98"/>
        <v>1.2727769874302819</v>
      </c>
      <c r="AY54" s="10">
        <f t="shared" si="98"/>
        <v>1.2727769874302819</v>
      </c>
      <c r="AZ54" s="10">
        <f t="shared" si="98"/>
        <v>1.2727769874302819</v>
      </c>
      <c r="BA54" s="10">
        <f t="shared" si="98"/>
        <v>1.2727769874302819</v>
      </c>
      <c r="BB54" s="10">
        <f t="shared" si="98"/>
        <v>1.2727769874302819</v>
      </c>
      <c r="BC54" s="10">
        <f t="shared" si="98"/>
        <v>1.2727769874302819</v>
      </c>
      <c r="BD54" s="10">
        <f t="shared" si="98"/>
        <v>1.2727769874302819</v>
      </c>
      <c r="BE54" s="10">
        <f t="shared" si="98"/>
        <v>1.2727769874302819</v>
      </c>
      <c r="BF54" s="10">
        <f t="shared" si="98"/>
        <v>1.2727769874302819</v>
      </c>
      <c r="BG54" s="10">
        <f t="shared" si="98"/>
        <v>1.2727769874302819</v>
      </c>
      <c r="BH54" s="10">
        <f t="shared" si="98"/>
        <v>1.2727769874302819</v>
      </c>
      <c r="BI54" s="10">
        <f t="shared" si="98"/>
        <v>1.2727769874302819</v>
      </c>
      <c r="BJ54" s="10">
        <f t="shared" si="98"/>
        <v>1.2727769874302819</v>
      </c>
      <c r="BK54" s="10">
        <f t="shared" si="98"/>
        <v>1.2727769874302819</v>
      </c>
      <c r="BL54" s="10">
        <f t="shared" si="98"/>
        <v>1.2727769874302819</v>
      </c>
      <c r="BM54" s="10">
        <f t="shared" si="98"/>
        <v>1.2727769874302819</v>
      </c>
      <c r="BN54" s="10">
        <f t="shared" si="98"/>
        <v>1.2727769874302819</v>
      </c>
      <c r="BO54" s="10">
        <f t="shared" ref="BO54:CG54" si="99">2*BO$10*(BO$5+BO$11*BO$6)/(SQRT(2)*BO$7*SIN(BO34))</f>
        <v>1.2727769874302819</v>
      </c>
      <c r="BP54" s="10">
        <f t="shared" si="99"/>
        <v>1.2727769874302819</v>
      </c>
      <c r="BQ54" s="10">
        <f t="shared" si="99"/>
        <v>1.2727769874302819</v>
      </c>
      <c r="BR54" s="10">
        <f t="shared" si="99"/>
        <v>1.2727769874302819</v>
      </c>
      <c r="BS54" s="10">
        <f t="shared" si="99"/>
        <v>1.2727769874302819</v>
      </c>
      <c r="BT54" s="10">
        <f t="shared" si="99"/>
        <v>1.2727769874302819</v>
      </c>
      <c r="BU54" s="10">
        <f t="shared" si="99"/>
        <v>1.2727769874302819</v>
      </c>
      <c r="BV54" s="10">
        <f t="shared" si="99"/>
        <v>1.2727769874302819</v>
      </c>
      <c r="BW54" s="10">
        <f t="shared" si="99"/>
        <v>1.2727769874302819</v>
      </c>
      <c r="BX54" s="10">
        <f t="shared" si="99"/>
        <v>1.2727769874302819</v>
      </c>
      <c r="BY54" s="10">
        <f t="shared" si="99"/>
        <v>1.2727769874302819</v>
      </c>
      <c r="BZ54" s="10">
        <f t="shared" si="99"/>
        <v>1.2727769874302819</v>
      </c>
      <c r="CA54" s="10">
        <f t="shared" si="99"/>
        <v>1.2727769874302819</v>
      </c>
      <c r="CB54" s="10">
        <f t="shared" si="99"/>
        <v>1.2727769874302819</v>
      </c>
      <c r="CC54" s="10">
        <f t="shared" si="99"/>
        <v>1.2727769874302819</v>
      </c>
      <c r="CD54" s="10">
        <f t="shared" si="99"/>
        <v>1.2727769874302819</v>
      </c>
      <c r="CE54" s="10">
        <f t="shared" si="99"/>
        <v>1.2727769874302819</v>
      </c>
      <c r="CF54" s="10">
        <f t="shared" si="99"/>
        <v>1.2727769874302819</v>
      </c>
      <c r="CG54" s="10">
        <f t="shared" si="99"/>
        <v>1.2727769874302819</v>
      </c>
    </row>
    <row r="55" spans="2:89" ht="16.5" customHeight="1">
      <c r="B55" s="10" t="s">
        <v>815</v>
      </c>
      <c r="C55" s="10">
        <f t="shared" ref="C55:AH55" si="100">2*C$10*(C$5+C$11*C$6)/(SQRT(2)*C$7*SIN(C35))</f>
        <v>1.4195982680102959</v>
      </c>
      <c r="D55" s="10">
        <f t="shared" si="100"/>
        <v>1.4195982680102959</v>
      </c>
      <c r="E55" s="10">
        <f t="shared" si="100"/>
        <v>1.4195982680102959</v>
      </c>
      <c r="F55" s="10">
        <f t="shared" si="100"/>
        <v>1.4195982680102959</v>
      </c>
      <c r="G55" s="10">
        <f t="shared" si="100"/>
        <v>1.4195982680102959</v>
      </c>
      <c r="H55" s="10">
        <f t="shared" si="100"/>
        <v>1.4195982680102959</v>
      </c>
      <c r="I55" s="10">
        <f t="shared" si="100"/>
        <v>1.4195982680102959</v>
      </c>
      <c r="J55" s="10">
        <f t="shared" si="100"/>
        <v>1.4195982680102959</v>
      </c>
      <c r="K55" s="10">
        <f t="shared" si="100"/>
        <v>1.4195982680102959</v>
      </c>
      <c r="L55" s="10">
        <f t="shared" si="100"/>
        <v>1.4195982680102959</v>
      </c>
      <c r="M55" s="10">
        <f t="shared" si="100"/>
        <v>1.4195982680102959</v>
      </c>
      <c r="N55" s="10">
        <f t="shared" si="100"/>
        <v>1.4195982680102959</v>
      </c>
      <c r="O55" s="10">
        <f t="shared" si="100"/>
        <v>1.4195982680102959</v>
      </c>
      <c r="P55" s="10">
        <f t="shared" si="100"/>
        <v>1.4195982680102959</v>
      </c>
      <c r="Q55" s="10">
        <f t="shared" si="100"/>
        <v>1.4195982680102959</v>
      </c>
      <c r="R55" s="10">
        <f t="shared" si="100"/>
        <v>1.4195982680102959</v>
      </c>
      <c r="S55" s="10">
        <f t="shared" si="100"/>
        <v>1.4195982680102959</v>
      </c>
      <c r="T55" s="10">
        <f t="shared" si="100"/>
        <v>1.4195982680102959</v>
      </c>
      <c r="U55" s="10">
        <f t="shared" si="100"/>
        <v>1.4195982680102959</v>
      </c>
      <c r="V55" s="10">
        <f t="shared" si="100"/>
        <v>1.4195982680102959</v>
      </c>
      <c r="W55" s="10">
        <f t="shared" si="100"/>
        <v>1.4195982680102959</v>
      </c>
      <c r="X55" s="10">
        <f t="shared" si="100"/>
        <v>1.4195982680102959</v>
      </c>
      <c r="Y55" s="10">
        <f t="shared" si="100"/>
        <v>1.4195982680102959</v>
      </c>
      <c r="Z55" s="10">
        <f t="shared" si="100"/>
        <v>1.4195982680102959</v>
      </c>
      <c r="AA55" s="10">
        <f t="shared" si="100"/>
        <v>1.4195982680102959</v>
      </c>
      <c r="AB55" s="10">
        <f t="shared" si="100"/>
        <v>1.4195982680102959</v>
      </c>
      <c r="AC55" s="10">
        <f t="shared" si="100"/>
        <v>1.4195982680102959</v>
      </c>
      <c r="AD55" s="10">
        <f t="shared" si="100"/>
        <v>1.4195982680102959</v>
      </c>
      <c r="AE55" s="10">
        <f t="shared" si="100"/>
        <v>1.4195982680102959</v>
      </c>
      <c r="AF55" s="10">
        <f t="shared" si="100"/>
        <v>1.4195982680102959</v>
      </c>
      <c r="AG55" s="10">
        <f t="shared" si="100"/>
        <v>1.4195982680102959</v>
      </c>
      <c r="AH55" s="10">
        <f t="shared" si="100"/>
        <v>1.4195982680102959</v>
      </c>
      <c r="AI55" s="10">
        <f t="shared" ref="AI55:BN55" si="101">2*AI$10*(AI$5+AI$11*AI$6)/(SQRT(2)*AI$7*SIN(AI35))</f>
        <v>1.4195982680102959</v>
      </c>
      <c r="AJ55" s="10">
        <f t="shared" si="101"/>
        <v>1.4195982680102959</v>
      </c>
      <c r="AK55" s="10">
        <f t="shared" si="101"/>
        <v>1.4195982680102959</v>
      </c>
      <c r="AL55" s="10">
        <f t="shared" si="101"/>
        <v>1.4195982680102959</v>
      </c>
      <c r="AM55" s="10">
        <f t="shared" si="101"/>
        <v>1.4195982680102959</v>
      </c>
      <c r="AN55" s="10">
        <f t="shared" si="101"/>
        <v>1.4195982680102959</v>
      </c>
      <c r="AO55" s="10">
        <f t="shared" si="101"/>
        <v>1.4195982680102959</v>
      </c>
      <c r="AP55" s="10">
        <f t="shared" si="101"/>
        <v>1.4195982680102959</v>
      </c>
      <c r="AQ55" s="10">
        <f t="shared" si="101"/>
        <v>1.4195982680102959</v>
      </c>
      <c r="AR55" s="10">
        <f t="shared" si="101"/>
        <v>1.4195982680102959</v>
      </c>
      <c r="AS55" s="10">
        <f t="shared" si="101"/>
        <v>1.4195982680102959</v>
      </c>
      <c r="AT55" s="10">
        <f t="shared" si="101"/>
        <v>1.4195982680102959</v>
      </c>
      <c r="AU55" s="10">
        <f t="shared" si="101"/>
        <v>1.4195982680102959</v>
      </c>
      <c r="AV55" s="10">
        <f t="shared" si="101"/>
        <v>1.4195982680102959</v>
      </c>
      <c r="AW55" s="10">
        <f t="shared" si="101"/>
        <v>1.4195982680102959</v>
      </c>
      <c r="AX55" s="10">
        <f t="shared" si="101"/>
        <v>1.4195982680102959</v>
      </c>
      <c r="AY55" s="10">
        <f t="shared" si="101"/>
        <v>1.4195982680102959</v>
      </c>
      <c r="AZ55" s="10">
        <f t="shared" si="101"/>
        <v>1.4195982680102959</v>
      </c>
      <c r="BA55" s="10">
        <f t="shared" si="101"/>
        <v>1.4195982680102959</v>
      </c>
      <c r="BB55" s="10">
        <f t="shared" si="101"/>
        <v>1.4195982680102959</v>
      </c>
      <c r="BC55" s="10">
        <f t="shared" si="101"/>
        <v>1.4195982680102959</v>
      </c>
      <c r="BD55" s="10">
        <f t="shared" si="101"/>
        <v>1.4195982680102959</v>
      </c>
      <c r="BE55" s="10">
        <f t="shared" si="101"/>
        <v>1.4195982680102959</v>
      </c>
      <c r="BF55" s="10">
        <f t="shared" si="101"/>
        <v>1.4195982680102959</v>
      </c>
      <c r="BG55" s="10">
        <f t="shared" si="101"/>
        <v>1.4195982680102959</v>
      </c>
      <c r="BH55" s="10">
        <f t="shared" si="101"/>
        <v>1.4195982680102959</v>
      </c>
      <c r="BI55" s="10">
        <f t="shared" si="101"/>
        <v>1.4195982680102959</v>
      </c>
      <c r="BJ55" s="10">
        <f t="shared" si="101"/>
        <v>1.4195982680102959</v>
      </c>
      <c r="BK55" s="10">
        <f t="shared" si="101"/>
        <v>1.4195982680102959</v>
      </c>
      <c r="BL55" s="10">
        <f t="shared" si="101"/>
        <v>1.4195982680102959</v>
      </c>
      <c r="BM55" s="10">
        <f t="shared" si="101"/>
        <v>1.4195982680102959</v>
      </c>
      <c r="BN55" s="10">
        <f t="shared" si="101"/>
        <v>1.4195982680102959</v>
      </c>
      <c r="BO55" s="10">
        <f t="shared" ref="BO55:CG55" si="102">2*BO$10*(BO$5+BO$11*BO$6)/(SQRT(2)*BO$7*SIN(BO35))</f>
        <v>1.4195982680102959</v>
      </c>
      <c r="BP55" s="10">
        <f t="shared" si="102"/>
        <v>1.4195982680102959</v>
      </c>
      <c r="BQ55" s="10">
        <f t="shared" si="102"/>
        <v>1.4195982680102959</v>
      </c>
      <c r="BR55" s="10">
        <f t="shared" si="102"/>
        <v>1.4195982680102959</v>
      </c>
      <c r="BS55" s="10">
        <f t="shared" si="102"/>
        <v>1.4195982680102959</v>
      </c>
      <c r="BT55" s="10">
        <f t="shared" si="102"/>
        <v>1.4195982680102959</v>
      </c>
      <c r="BU55" s="10">
        <f t="shared" si="102"/>
        <v>1.4195982680102959</v>
      </c>
      <c r="BV55" s="10">
        <f t="shared" si="102"/>
        <v>1.4195982680102959</v>
      </c>
      <c r="BW55" s="10">
        <f t="shared" si="102"/>
        <v>1.4195982680102959</v>
      </c>
      <c r="BX55" s="10">
        <f t="shared" si="102"/>
        <v>1.4195982680102959</v>
      </c>
      <c r="BY55" s="10">
        <f t="shared" si="102"/>
        <v>1.4195982680102959</v>
      </c>
      <c r="BZ55" s="10">
        <f t="shared" si="102"/>
        <v>1.4195982680102959</v>
      </c>
      <c r="CA55" s="10">
        <f t="shared" si="102"/>
        <v>1.4195982680102959</v>
      </c>
      <c r="CB55" s="10">
        <f t="shared" si="102"/>
        <v>1.4195982680102959</v>
      </c>
      <c r="CC55" s="10">
        <f t="shared" si="102"/>
        <v>1.4195982680102959</v>
      </c>
      <c r="CD55" s="10">
        <f t="shared" si="102"/>
        <v>1.4195982680102959</v>
      </c>
      <c r="CE55" s="10">
        <f t="shared" si="102"/>
        <v>1.4195982680102959</v>
      </c>
      <c r="CF55" s="10">
        <f t="shared" si="102"/>
        <v>1.4195982680102959</v>
      </c>
      <c r="CG55" s="10">
        <f t="shared" si="102"/>
        <v>1.4195982680102959</v>
      </c>
    </row>
    <row r="56" spans="2:89" ht="16.5" customHeight="1">
      <c r="B56" s="10" t="s">
        <v>816</v>
      </c>
      <c r="C56" s="10">
        <f t="shared" ref="C56:AH56" si="103">2*C$10*(C$5+C$11*C$6)/(SQRT(2)*C$7*SIN(C36))</f>
        <v>1.7386456981819924</v>
      </c>
      <c r="D56" s="10">
        <f t="shared" si="103"/>
        <v>1.7386456981819924</v>
      </c>
      <c r="E56" s="10">
        <f t="shared" si="103"/>
        <v>1.7386456981819924</v>
      </c>
      <c r="F56" s="10">
        <f t="shared" si="103"/>
        <v>1.7386456981819924</v>
      </c>
      <c r="G56" s="10">
        <f t="shared" si="103"/>
        <v>1.7386456981819924</v>
      </c>
      <c r="H56" s="10">
        <f t="shared" si="103"/>
        <v>1.7386456981819924</v>
      </c>
      <c r="I56" s="10">
        <f t="shared" si="103"/>
        <v>1.7386456981819924</v>
      </c>
      <c r="J56" s="10">
        <f t="shared" si="103"/>
        <v>1.7386456981819924</v>
      </c>
      <c r="K56" s="10">
        <f t="shared" si="103"/>
        <v>1.7386456981819924</v>
      </c>
      <c r="L56" s="10">
        <f t="shared" si="103"/>
        <v>1.7386456981819924</v>
      </c>
      <c r="M56" s="10">
        <f t="shared" si="103"/>
        <v>1.7386456981819924</v>
      </c>
      <c r="N56" s="10">
        <f t="shared" si="103"/>
        <v>1.7386456981819924</v>
      </c>
      <c r="O56" s="10">
        <f t="shared" si="103"/>
        <v>1.7386456981819924</v>
      </c>
      <c r="P56" s="10">
        <f t="shared" si="103"/>
        <v>1.7386456981819924</v>
      </c>
      <c r="Q56" s="10">
        <f t="shared" si="103"/>
        <v>1.7386456981819924</v>
      </c>
      <c r="R56" s="10">
        <f t="shared" si="103"/>
        <v>1.7386456981819924</v>
      </c>
      <c r="S56" s="10">
        <f t="shared" si="103"/>
        <v>1.7386456981819924</v>
      </c>
      <c r="T56" s="10">
        <f t="shared" si="103"/>
        <v>1.7386456981819924</v>
      </c>
      <c r="U56" s="10">
        <f t="shared" si="103"/>
        <v>1.7386456981819924</v>
      </c>
      <c r="V56" s="10">
        <f t="shared" si="103"/>
        <v>1.7386456981819924</v>
      </c>
      <c r="W56" s="10">
        <f t="shared" si="103"/>
        <v>1.7386456981819924</v>
      </c>
      <c r="X56" s="10">
        <f t="shared" si="103"/>
        <v>1.7386456981819924</v>
      </c>
      <c r="Y56" s="10">
        <f t="shared" si="103"/>
        <v>1.7386456981819924</v>
      </c>
      <c r="Z56" s="10">
        <f t="shared" si="103"/>
        <v>1.7386456981819924</v>
      </c>
      <c r="AA56" s="10">
        <f t="shared" si="103"/>
        <v>1.7386456981819924</v>
      </c>
      <c r="AB56" s="10">
        <f t="shared" si="103"/>
        <v>1.7386456981819924</v>
      </c>
      <c r="AC56" s="10">
        <f t="shared" si="103"/>
        <v>1.7386456981819924</v>
      </c>
      <c r="AD56" s="10">
        <f t="shared" si="103"/>
        <v>1.7386456981819924</v>
      </c>
      <c r="AE56" s="10">
        <f t="shared" si="103"/>
        <v>1.7386456981819924</v>
      </c>
      <c r="AF56" s="10">
        <f t="shared" si="103"/>
        <v>1.7386456981819924</v>
      </c>
      <c r="AG56" s="10">
        <f t="shared" si="103"/>
        <v>1.7386456981819924</v>
      </c>
      <c r="AH56" s="10">
        <f t="shared" si="103"/>
        <v>1.7386456981819924</v>
      </c>
      <c r="AI56" s="10">
        <f t="shared" ref="AI56:BN56" si="104">2*AI$10*(AI$5+AI$11*AI$6)/(SQRT(2)*AI$7*SIN(AI36))</f>
        <v>1.7386456981819924</v>
      </c>
      <c r="AJ56" s="10">
        <f t="shared" si="104"/>
        <v>1.7386456981819924</v>
      </c>
      <c r="AK56" s="10">
        <f t="shared" si="104"/>
        <v>1.7386456981819924</v>
      </c>
      <c r="AL56" s="10">
        <f t="shared" si="104"/>
        <v>1.7386456981819924</v>
      </c>
      <c r="AM56" s="10">
        <f t="shared" si="104"/>
        <v>1.7386456981819924</v>
      </c>
      <c r="AN56" s="10">
        <f t="shared" si="104"/>
        <v>1.7386456981819924</v>
      </c>
      <c r="AO56" s="10">
        <f t="shared" si="104"/>
        <v>1.7386456981819924</v>
      </c>
      <c r="AP56" s="10">
        <f t="shared" si="104"/>
        <v>1.7386456981819924</v>
      </c>
      <c r="AQ56" s="10">
        <f t="shared" si="104"/>
        <v>1.7386456981819924</v>
      </c>
      <c r="AR56" s="10">
        <f t="shared" si="104"/>
        <v>1.7386456981819924</v>
      </c>
      <c r="AS56" s="10">
        <f t="shared" si="104"/>
        <v>1.7386456981819924</v>
      </c>
      <c r="AT56" s="10">
        <f t="shared" si="104"/>
        <v>1.7386456981819924</v>
      </c>
      <c r="AU56" s="10">
        <f t="shared" si="104"/>
        <v>1.7386456981819924</v>
      </c>
      <c r="AV56" s="10">
        <f t="shared" si="104"/>
        <v>1.7386456981819924</v>
      </c>
      <c r="AW56" s="10">
        <f t="shared" si="104"/>
        <v>1.7386456981819924</v>
      </c>
      <c r="AX56" s="10">
        <f t="shared" si="104"/>
        <v>1.7386456981819924</v>
      </c>
      <c r="AY56" s="10">
        <f t="shared" si="104"/>
        <v>1.7386456981819924</v>
      </c>
      <c r="AZ56" s="10">
        <f t="shared" si="104"/>
        <v>1.7386456981819924</v>
      </c>
      <c r="BA56" s="10">
        <f t="shared" si="104"/>
        <v>1.7386456981819924</v>
      </c>
      <c r="BB56" s="10">
        <f t="shared" si="104"/>
        <v>1.7386456981819924</v>
      </c>
      <c r="BC56" s="10">
        <f t="shared" si="104"/>
        <v>1.7386456981819924</v>
      </c>
      <c r="BD56" s="10">
        <f t="shared" si="104"/>
        <v>1.7386456981819924</v>
      </c>
      <c r="BE56" s="10">
        <f t="shared" si="104"/>
        <v>1.7386456981819924</v>
      </c>
      <c r="BF56" s="10">
        <f t="shared" si="104"/>
        <v>1.7386456981819924</v>
      </c>
      <c r="BG56" s="10">
        <f t="shared" si="104"/>
        <v>1.7386456981819924</v>
      </c>
      <c r="BH56" s="10">
        <f t="shared" si="104"/>
        <v>1.7386456981819924</v>
      </c>
      <c r="BI56" s="10">
        <f t="shared" si="104"/>
        <v>1.7386456981819924</v>
      </c>
      <c r="BJ56" s="10">
        <f t="shared" si="104"/>
        <v>1.7386456981819924</v>
      </c>
      <c r="BK56" s="10">
        <f t="shared" si="104"/>
        <v>1.7386456981819924</v>
      </c>
      <c r="BL56" s="10">
        <f t="shared" si="104"/>
        <v>1.7386456981819924</v>
      </c>
      <c r="BM56" s="10">
        <f t="shared" si="104"/>
        <v>1.7386456981819924</v>
      </c>
      <c r="BN56" s="10">
        <f t="shared" si="104"/>
        <v>1.7386456981819924</v>
      </c>
      <c r="BO56" s="10">
        <f t="shared" ref="BO56:CG56" si="105">2*BO$10*(BO$5+BO$11*BO$6)/(SQRT(2)*BO$7*SIN(BO36))</f>
        <v>1.7386456981819924</v>
      </c>
      <c r="BP56" s="10">
        <f t="shared" si="105"/>
        <v>1.7386456981819924</v>
      </c>
      <c r="BQ56" s="10">
        <f t="shared" si="105"/>
        <v>1.7386456981819924</v>
      </c>
      <c r="BR56" s="10">
        <f t="shared" si="105"/>
        <v>1.7386456981819924</v>
      </c>
      <c r="BS56" s="10">
        <f t="shared" si="105"/>
        <v>1.7386456981819924</v>
      </c>
      <c r="BT56" s="10">
        <f t="shared" si="105"/>
        <v>1.7386456981819924</v>
      </c>
      <c r="BU56" s="10">
        <f t="shared" si="105"/>
        <v>1.7386456981819924</v>
      </c>
      <c r="BV56" s="10">
        <f t="shared" si="105"/>
        <v>1.7386456981819924</v>
      </c>
      <c r="BW56" s="10">
        <f t="shared" si="105"/>
        <v>1.7386456981819924</v>
      </c>
      <c r="BX56" s="10">
        <f t="shared" si="105"/>
        <v>1.7386456981819924</v>
      </c>
      <c r="BY56" s="10">
        <f t="shared" si="105"/>
        <v>1.7386456981819924</v>
      </c>
      <c r="BZ56" s="10">
        <f t="shared" si="105"/>
        <v>1.7386456981819924</v>
      </c>
      <c r="CA56" s="10">
        <f t="shared" si="105"/>
        <v>1.7386456981819924</v>
      </c>
      <c r="CB56" s="10">
        <f t="shared" si="105"/>
        <v>1.7386456981819924</v>
      </c>
      <c r="CC56" s="10">
        <f t="shared" si="105"/>
        <v>1.7386456981819924</v>
      </c>
      <c r="CD56" s="10">
        <f t="shared" si="105"/>
        <v>1.7386456981819924</v>
      </c>
      <c r="CE56" s="10">
        <f t="shared" si="105"/>
        <v>1.7386456981819924</v>
      </c>
      <c r="CF56" s="10">
        <f t="shared" si="105"/>
        <v>1.7386456981819924</v>
      </c>
      <c r="CG56" s="10">
        <f t="shared" si="105"/>
        <v>1.7386456981819924</v>
      </c>
    </row>
    <row r="57" spans="2:89" ht="16.5" customHeight="1">
      <c r="B57" s="10" t="s">
        <v>817</v>
      </c>
      <c r="C57" s="10">
        <f t="shared" ref="C57:AH57" si="106">2*C$10*(C$5+C$11*C$6)/(SQRT(2)*C$7*SIN(C37))</f>
        <v>2.4588163265306129</v>
      </c>
      <c r="D57" s="10">
        <f t="shared" si="106"/>
        <v>2.4588163265306129</v>
      </c>
      <c r="E57" s="10">
        <f t="shared" si="106"/>
        <v>2.4588163265306129</v>
      </c>
      <c r="F57" s="10">
        <f t="shared" si="106"/>
        <v>2.4588163265306129</v>
      </c>
      <c r="G57" s="10">
        <f t="shared" si="106"/>
        <v>2.4588163265306129</v>
      </c>
      <c r="H57" s="10">
        <f t="shared" si="106"/>
        <v>2.4588163265306129</v>
      </c>
      <c r="I57" s="10">
        <f t="shared" si="106"/>
        <v>2.4588163265306129</v>
      </c>
      <c r="J57" s="10">
        <f t="shared" si="106"/>
        <v>2.4588163265306129</v>
      </c>
      <c r="K57" s="10">
        <f t="shared" si="106"/>
        <v>2.4588163265306129</v>
      </c>
      <c r="L57" s="10">
        <f t="shared" si="106"/>
        <v>2.4588163265306129</v>
      </c>
      <c r="M57" s="10">
        <f t="shared" si="106"/>
        <v>2.4588163265306129</v>
      </c>
      <c r="N57" s="10">
        <f t="shared" si="106"/>
        <v>2.4588163265306129</v>
      </c>
      <c r="O57" s="10">
        <f t="shared" si="106"/>
        <v>2.4588163265306129</v>
      </c>
      <c r="P57" s="10">
        <f t="shared" si="106"/>
        <v>2.4588163265306129</v>
      </c>
      <c r="Q57" s="10">
        <f t="shared" si="106"/>
        <v>2.4588163265306129</v>
      </c>
      <c r="R57" s="10">
        <f t="shared" si="106"/>
        <v>2.4588163265306129</v>
      </c>
      <c r="S57" s="10">
        <f t="shared" si="106"/>
        <v>2.4588163265306129</v>
      </c>
      <c r="T57" s="10">
        <f t="shared" si="106"/>
        <v>2.4588163265306129</v>
      </c>
      <c r="U57" s="10">
        <f t="shared" si="106"/>
        <v>2.4588163265306129</v>
      </c>
      <c r="V57" s="10">
        <f t="shared" si="106"/>
        <v>2.4588163265306129</v>
      </c>
      <c r="W57" s="10">
        <f t="shared" si="106"/>
        <v>2.4588163265306129</v>
      </c>
      <c r="X57" s="10">
        <f t="shared" si="106"/>
        <v>2.4588163265306129</v>
      </c>
      <c r="Y57" s="10">
        <f t="shared" si="106"/>
        <v>2.4588163265306129</v>
      </c>
      <c r="Z57" s="10">
        <f t="shared" si="106"/>
        <v>2.4588163265306129</v>
      </c>
      <c r="AA57" s="10">
        <f t="shared" si="106"/>
        <v>2.4588163265306129</v>
      </c>
      <c r="AB57" s="10">
        <f t="shared" si="106"/>
        <v>2.4588163265306129</v>
      </c>
      <c r="AC57" s="10">
        <f t="shared" si="106"/>
        <v>2.4588163265306129</v>
      </c>
      <c r="AD57" s="10">
        <f t="shared" si="106"/>
        <v>2.4588163265306129</v>
      </c>
      <c r="AE57" s="10">
        <f t="shared" si="106"/>
        <v>2.4588163265306129</v>
      </c>
      <c r="AF57" s="10">
        <f t="shared" si="106"/>
        <v>2.4588163265306129</v>
      </c>
      <c r="AG57" s="10">
        <f t="shared" si="106"/>
        <v>2.4588163265306129</v>
      </c>
      <c r="AH57" s="10">
        <f t="shared" si="106"/>
        <v>2.4588163265306129</v>
      </c>
      <c r="AI57" s="10">
        <f t="shared" ref="AI57:BN57" si="107">2*AI$10*(AI$5+AI$11*AI$6)/(SQRT(2)*AI$7*SIN(AI37))</f>
        <v>2.4588163265306129</v>
      </c>
      <c r="AJ57" s="10">
        <f t="shared" si="107"/>
        <v>2.4588163265306129</v>
      </c>
      <c r="AK57" s="10">
        <f t="shared" si="107"/>
        <v>2.4588163265306129</v>
      </c>
      <c r="AL57" s="10">
        <f t="shared" si="107"/>
        <v>2.4588163265306129</v>
      </c>
      <c r="AM57" s="10">
        <f t="shared" si="107"/>
        <v>2.4588163265306129</v>
      </c>
      <c r="AN57" s="10">
        <f t="shared" si="107"/>
        <v>2.4588163265306129</v>
      </c>
      <c r="AO57" s="10">
        <f t="shared" si="107"/>
        <v>2.4588163265306129</v>
      </c>
      <c r="AP57" s="10">
        <f t="shared" si="107"/>
        <v>2.4588163265306129</v>
      </c>
      <c r="AQ57" s="10">
        <f t="shared" si="107"/>
        <v>2.4588163265306129</v>
      </c>
      <c r="AR57" s="10">
        <f t="shared" si="107"/>
        <v>2.4588163265306129</v>
      </c>
      <c r="AS57" s="10">
        <f t="shared" si="107"/>
        <v>2.4588163265306129</v>
      </c>
      <c r="AT57" s="10">
        <f t="shared" si="107"/>
        <v>2.4588163265306129</v>
      </c>
      <c r="AU57" s="10">
        <f t="shared" si="107"/>
        <v>2.4588163265306129</v>
      </c>
      <c r="AV57" s="10">
        <f t="shared" si="107"/>
        <v>2.4588163265306129</v>
      </c>
      <c r="AW57" s="10">
        <f t="shared" si="107"/>
        <v>2.4588163265306129</v>
      </c>
      <c r="AX57" s="10">
        <f t="shared" si="107"/>
        <v>2.4588163265306129</v>
      </c>
      <c r="AY57" s="10">
        <f t="shared" si="107"/>
        <v>2.4588163265306129</v>
      </c>
      <c r="AZ57" s="10">
        <f t="shared" si="107"/>
        <v>2.4588163265306129</v>
      </c>
      <c r="BA57" s="10">
        <f t="shared" si="107"/>
        <v>2.4588163265306129</v>
      </c>
      <c r="BB57" s="10">
        <f t="shared" si="107"/>
        <v>2.4588163265306129</v>
      </c>
      <c r="BC57" s="10">
        <f t="shared" si="107"/>
        <v>2.4588163265306129</v>
      </c>
      <c r="BD57" s="10">
        <f t="shared" si="107"/>
        <v>2.4588163265306129</v>
      </c>
      <c r="BE57" s="10">
        <f t="shared" si="107"/>
        <v>2.4588163265306129</v>
      </c>
      <c r="BF57" s="10">
        <f t="shared" si="107"/>
        <v>2.4588163265306129</v>
      </c>
      <c r="BG57" s="10">
        <f t="shared" si="107"/>
        <v>2.4588163265306129</v>
      </c>
      <c r="BH57" s="10">
        <f t="shared" si="107"/>
        <v>2.4588163265306129</v>
      </c>
      <c r="BI57" s="10">
        <f t="shared" si="107"/>
        <v>2.4588163265306129</v>
      </c>
      <c r="BJ57" s="10">
        <f t="shared" si="107"/>
        <v>2.4588163265306129</v>
      </c>
      <c r="BK57" s="10">
        <f t="shared" si="107"/>
        <v>2.4588163265306129</v>
      </c>
      <c r="BL57" s="10">
        <f t="shared" si="107"/>
        <v>2.4588163265306129</v>
      </c>
      <c r="BM57" s="10">
        <f t="shared" si="107"/>
        <v>2.4588163265306129</v>
      </c>
      <c r="BN57" s="10">
        <f t="shared" si="107"/>
        <v>2.4588163265306129</v>
      </c>
      <c r="BO57" s="10">
        <f t="shared" ref="BO57:CG57" si="108">2*BO$10*(BO$5+BO$11*BO$6)/(SQRT(2)*BO$7*SIN(BO37))</f>
        <v>2.4588163265306129</v>
      </c>
      <c r="BP57" s="10">
        <f t="shared" si="108"/>
        <v>2.4588163265306129</v>
      </c>
      <c r="BQ57" s="10">
        <f t="shared" si="108"/>
        <v>2.4588163265306129</v>
      </c>
      <c r="BR57" s="10">
        <f t="shared" si="108"/>
        <v>2.4588163265306129</v>
      </c>
      <c r="BS57" s="10">
        <f t="shared" si="108"/>
        <v>2.4588163265306129</v>
      </c>
      <c r="BT57" s="10">
        <f t="shared" si="108"/>
        <v>2.4588163265306129</v>
      </c>
      <c r="BU57" s="10">
        <f t="shared" si="108"/>
        <v>2.4588163265306129</v>
      </c>
      <c r="BV57" s="10">
        <f t="shared" si="108"/>
        <v>2.4588163265306129</v>
      </c>
      <c r="BW57" s="10">
        <f t="shared" si="108"/>
        <v>2.4588163265306129</v>
      </c>
      <c r="BX57" s="10">
        <f t="shared" si="108"/>
        <v>2.4588163265306129</v>
      </c>
      <c r="BY57" s="10">
        <f t="shared" si="108"/>
        <v>2.4588163265306129</v>
      </c>
      <c r="BZ57" s="10">
        <f t="shared" si="108"/>
        <v>2.4588163265306129</v>
      </c>
      <c r="CA57" s="10">
        <f t="shared" si="108"/>
        <v>2.4588163265306129</v>
      </c>
      <c r="CB57" s="10">
        <f t="shared" si="108"/>
        <v>2.4588163265306129</v>
      </c>
      <c r="CC57" s="10">
        <f t="shared" si="108"/>
        <v>2.4588163265306129</v>
      </c>
      <c r="CD57" s="10">
        <f t="shared" si="108"/>
        <v>2.4588163265306129</v>
      </c>
      <c r="CE57" s="10">
        <f t="shared" si="108"/>
        <v>2.4588163265306129</v>
      </c>
      <c r="CF57" s="10">
        <f t="shared" si="108"/>
        <v>2.4588163265306129</v>
      </c>
      <c r="CG57" s="10">
        <f t="shared" si="108"/>
        <v>2.4588163265306129</v>
      </c>
    </row>
    <row r="58" spans="2:89" ht="16.5" customHeight="1">
      <c r="B58" s="10" t="s">
        <v>818</v>
      </c>
      <c r="C58" s="10">
        <f t="shared" ref="C58:AH58" si="109">2*C$10*(C$5+C$11*C$6)/(SQRT(2)*C$7*SIN(C38))</f>
        <v>4.7500683837942672</v>
      </c>
      <c r="D58" s="10">
        <f t="shared" si="109"/>
        <v>4.7500683837942672</v>
      </c>
      <c r="E58" s="10">
        <f t="shared" si="109"/>
        <v>4.7500683837942672</v>
      </c>
      <c r="F58" s="10">
        <f t="shared" si="109"/>
        <v>4.7500683837942672</v>
      </c>
      <c r="G58" s="10">
        <f t="shared" si="109"/>
        <v>4.7500683837942672</v>
      </c>
      <c r="H58" s="10">
        <f t="shared" si="109"/>
        <v>4.7500683837942672</v>
      </c>
      <c r="I58" s="10">
        <f t="shared" si="109"/>
        <v>4.7500683837942672</v>
      </c>
      <c r="J58" s="10">
        <f t="shared" si="109"/>
        <v>4.7500683837942672</v>
      </c>
      <c r="K58" s="10">
        <f t="shared" si="109"/>
        <v>4.7500683837942672</v>
      </c>
      <c r="L58" s="10">
        <f t="shared" si="109"/>
        <v>4.7500683837942672</v>
      </c>
      <c r="M58" s="10">
        <f t="shared" si="109"/>
        <v>4.7500683837942672</v>
      </c>
      <c r="N58" s="10">
        <f t="shared" si="109"/>
        <v>4.7500683837942672</v>
      </c>
      <c r="O58" s="10">
        <f t="shared" si="109"/>
        <v>4.7500683837942672</v>
      </c>
      <c r="P58" s="10">
        <f t="shared" si="109"/>
        <v>4.7500683837942672</v>
      </c>
      <c r="Q58" s="10">
        <f t="shared" si="109"/>
        <v>4.7500683837942672</v>
      </c>
      <c r="R58" s="10">
        <f t="shared" si="109"/>
        <v>4.7500683837942672</v>
      </c>
      <c r="S58" s="10">
        <f t="shared" si="109"/>
        <v>4.7500683837942672</v>
      </c>
      <c r="T58" s="10">
        <f t="shared" si="109"/>
        <v>4.7500683837942672</v>
      </c>
      <c r="U58" s="10">
        <f t="shared" si="109"/>
        <v>4.7500683837942672</v>
      </c>
      <c r="V58" s="10">
        <f t="shared" si="109"/>
        <v>4.7500683837942672</v>
      </c>
      <c r="W58" s="10">
        <f t="shared" si="109"/>
        <v>4.7500683837942672</v>
      </c>
      <c r="X58" s="10">
        <f t="shared" si="109"/>
        <v>4.7500683837942672</v>
      </c>
      <c r="Y58" s="10">
        <f t="shared" si="109"/>
        <v>4.7500683837942672</v>
      </c>
      <c r="Z58" s="10">
        <f t="shared" si="109"/>
        <v>4.7500683837942672</v>
      </c>
      <c r="AA58" s="10">
        <f t="shared" si="109"/>
        <v>4.7500683837942672</v>
      </c>
      <c r="AB58" s="10">
        <f t="shared" si="109"/>
        <v>4.7500683837942672</v>
      </c>
      <c r="AC58" s="10">
        <f t="shared" si="109"/>
        <v>4.7500683837942672</v>
      </c>
      <c r="AD58" s="10">
        <f t="shared" si="109"/>
        <v>4.7500683837942672</v>
      </c>
      <c r="AE58" s="10">
        <f t="shared" si="109"/>
        <v>4.7500683837942672</v>
      </c>
      <c r="AF58" s="10">
        <f t="shared" si="109"/>
        <v>4.7500683837942672</v>
      </c>
      <c r="AG58" s="10">
        <f t="shared" si="109"/>
        <v>4.7500683837942672</v>
      </c>
      <c r="AH58" s="10">
        <f t="shared" si="109"/>
        <v>4.7500683837942672</v>
      </c>
      <c r="AI58" s="10">
        <f t="shared" ref="AI58:BN58" si="110">2*AI$10*(AI$5+AI$11*AI$6)/(SQRT(2)*AI$7*SIN(AI38))</f>
        <v>4.7500683837942672</v>
      </c>
      <c r="AJ58" s="10">
        <f t="shared" si="110"/>
        <v>4.7500683837942672</v>
      </c>
      <c r="AK58" s="10">
        <f t="shared" si="110"/>
        <v>4.7500683837942672</v>
      </c>
      <c r="AL58" s="10">
        <f t="shared" si="110"/>
        <v>4.7500683837942672</v>
      </c>
      <c r="AM58" s="10">
        <f t="shared" si="110"/>
        <v>4.7500683837942672</v>
      </c>
      <c r="AN58" s="10">
        <f t="shared" si="110"/>
        <v>4.7500683837942672</v>
      </c>
      <c r="AO58" s="10">
        <f t="shared" si="110"/>
        <v>4.7500683837942672</v>
      </c>
      <c r="AP58" s="10">
        <f t="shared" si="110"/>
        <v>4.7500683837942672</v>
      </c>
      <c r="AQ58" s="10">
        <f t="shared" si="110"/>
        <v>4.7500683837942672</v>
      </c>
      <c r="AR58" s="10">
        <f t="shared" si="110"/>
        <v>4.7500683837942672</v>
      </c>
      <c r="AS58" s="10">
        <f t="shared" si="110"/>
        <v>4.7500683837942672</v>
      </c>
      <c r="AT58" s="10">
        <f t="shared" si="110"/>
        <v>4.7500683837942672</v>
      </c>
      <c r="AU58" s="10">
        <f t="shared" si="110"/>
        <v>4.7500683837942672</v>
      </c>
      <c r="AV58" s="10">
        <f t="shared" si="110"/>
        <v>4.7500683837942672</v>
      </c>
      <c r="AW58" s="10">
        <f t="shared" si="110"/>
        <v>4.7500683837942672</v>
      </c>
      <c r="AX58" s="10">
        <f t="shared" si="110"/>
        <v>4.7500683837942672</v>
      </c>
      <c r="AY58" s="10">
        <f t="shared" si="110"/>
        <v>4.7500683837942672</v>
      </c>
      <c r="AZ58" s="10">
        <f t="shared" si="110"/>
        <v>4.7500683837942672</v>
      </c>
      <c r="BA58" s="10">
        <f t="shared" si="110"/>
        <v>4.7500683837942672</v>
      </c>
      <c r="BB58" s="10">
        <f t="shared" si="110"/>
        <v>4.7500683837942672</v>
      </c>
      <c r="BC58" s="10">
        <f t="shared" si="110"/>
        <v>4.7500683837942672</v>
      </c>
      <c r="BD58" s="10">
        <f t="shared" si="110"/>
        <v>4.7500683837942672</v>
      </c>
      <c r="BE58" s="10">
        <f t="shared" si="110"/>
        <v>4.7500683837942672</v>
      </c>
      <c r="BF58" s="10">
        <f t="shared" si="110"/>
        <v>4.7500683837942672</v>
      </c>
      <c r="BG58" s="10">
        <f t="shared" si="110"/>
        <v>4.7500683837942672</v>
      </c>
      <c r="BH58" s="10">
        <f t="shared" si="110"/>
        <v>4.7500683837942672</v>
      </c>
      <c r="BI58" s="10">
        <f t="shared" si="110"/>
        <v>4.7500683837942672</v>
      </c>
      <c r="BJ58" s="10">
        <f t="shared" si="110"/>
        <v>4.7500683837942672</v>
      </c>
      <c r="BK58" s="10">
        <f t="shared" si="110"/>
        <v>4.7500683837942672</v>
      </c>
      <c r="BL58" s="10">
        <f t="shared" si="110"/>
        <v>4.7500683837942672</v>
      </c>
      <c r="BM58" s="10">
        <f t="shared" si="110"/>
        <v>4.7500683837942672</v>
      </c>
      <c r="BN58" s="10">
        <f t="shared" si="110"/>
        <v>4.7500683837942672</v>
      </c>
      <c r="BO58" s="10">
        <f t="shared" ref="BO58:CG58" si="111">2*BO$10*(BO$5+BO$11*BO$6)/(SQRT(2)*BO$7*SIN(BO38))</f>
        <v>4.7500683837942672</v>
      </c>
      <c r="BP58" s="10">
        <f t="shared" si="111"/>
        <v>4.7500683837942672</v>
      </c>
      <c r="BQ58" s="10">
        <f t="shared" si="111"/>
        <v>4.7500683837942672</v>
      </c>
      <c r="BR58" s="10">
        <f t="shared" si="111"/>
        <v>4.7500683837942672</v>
      </c>
      <c r="BS58" s="10">
        <f t="shared" si="111"/>
        <v>4.7500683837942672</v>
      </c>
      <c r="BT58" s="10">
        <f t="shared" si="111"/>
        <v>4.7500683837942672</v>
      </c>
      <c r="BU58" s="10">
        <f t="shared" si="111"/>
        <v>4.7500683837942672</v>
      </c>
      <c r="BV58" s="10">
        <f t="shared" si="111"/>
        <v>4.7500683837942672</v>
      </c>
      <c r="BW58" s="10">
        <f t="shared" si="111"/>
        <v>4.7500683837942672</v>
      </c>
      <c r="BX58" s="10">
        <f t="shared" si="111"/>
        <v>4.7500683837942672</v>
      </c>
      <c r="BY58" s="10">
        <f t="shared" si="111"/>
        <v>4.7500683837942672</v>
      </c>
      <c r="BZ58" s="10">
        <f t="shared" si="111"/>
        <v>4.7500683837942672</v>
      </c>
      <c r="CA58" s="10">
        <f t="shared" si="111"/>
        <v>4.7500683837942672</v>
      </c>
      <c r="CB58" s="10">
        <f t="shared" si="111"/>
        <v>4.7500683837942672</v>
      </c>
      <c r="CC58" s="10">
        <f t="shared" si="111"/>
        <v>4.7500683837942672</v>
      </c>
      <c r="CD58" s="10">
        <f t="shared" si="111"/>
        <v>4.7500683837942672</v>
      </c>
      <c r="CE58" s="10">
        <f t="shared" si="111"/>
        <v>4.7500683837942672</v>
      </c>
      <c r="CF58" s="10">
        <f t="shared" si="111"/>
        <v>4.7500683837942672</v>
      </c>
      <c r="CG58" s="10">
        <f t="shared" si="111"/>
        <v>4.7500683837942672</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v>
      </c>
      <c r="BB60" s="10">
        <f t="shared" si="113"/>
        <v>0</v>
      </c>
      <c r="BC60" s="10">
        <f t="shared" si="113"/>
        <v>0</v>
      </c>
      <c r="BD60" s="10">
        <f t="shared" si="113"/>
        <v>0</v>
      </c>
      <c r="BE60" s="10">
        <f t="shared" si="113"/>
        <v>0</v>
      </c>
      <c r="BF60" s="10">
        <f t="shared" si="113"/>
        <v>0</v>
      </c>
      <c r="BG60" s="10">
        <f t="shared" si="113"/>
        <v>0</v>
      </c>
      <c r="BH60" s="10">
        <f t="shared" si="113"/>
        <v>0</v>
      </c>
      <c r="BI60" s="10">
        <f t="shared" si="113"/>
        <v>0.83783993632038878</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0.83783993632038878</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v>
      </c>
      <c r="BA61" s="10">
        <f t="shared" si="116"/>
        <v>0</v>
      </c>
      <c r="BB61" s="10">
        <f t="shared" si="116"/>
        <v>0</v>
      </c>
      <c r="BC61" s="10">
        <f t="shared" si="116"/>
        <v>0</v>
      </c>
      <c r="BD61" s="10">
        <f t="shared" si="116"/>
        <v>0</v>
      </c>
      <c r="BE61" s="10">
        <f t="shared" si="116"/>
        <v>0</v>
      </c>
      <c r="BF61" s="10">
        <f t="shared" si="116"/>
        <v>0</v>
      </c>
      <c r="BG61" s="10">
        <f t="shared" si="116"/>
        <v>0</v>
      </c>
      <c r="BH61" s="10">
        <f t="shared" si="116"/>
        <v>0.82005314069320001</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0.82005314069320001</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v>
      </c>
      <c r="AZ62" s="10">
        <f t="shared" si="119"/>
        <v>0</v>
      </c>
      <c r="BA62" s="10">
        <f t="shared" si="119"/>
        <v>0</v>
      </c>
      <c r="BB62" s="10">
        <f t="shared" si="119"/>
        <v>0</v>
      </c>
      <c r="BC62" s="10">
        <f t="shared" si="119"/>
        <v>0</v>
      </c>
      <c r="BD62" s="10">
        <f t="shared" si="119"/>
        <v>0</v>
      </c>
      <c r="BE62" s="10">
        <f t="shared" si="119"/>
        <v>0.77811269262423088</v>
      </c>
      <c r="BF62" s="10">
        <f t="shared" si="119"/>
        <v>0</v>
      </c>
      <c r="BG62" s="10">
        <f t="shared" si="119"/>
        <v>0</v>
      </c>
      <c r="BH62" s="10">
        <f t="shared" si="119"/>
        <v>0</v>
      </c>
      <c r="BI62" s="10">
        <f t="shared" si="119"/>
        <v>0</v>
      </c>
      <c r="BJ62" s="10">
        <f t="shared" si="119"/>
        <v>0</v>
      </c>
      <c r="BK62" s="10">
        <f t="shared" si="119"/>
        <v>0</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0.77811269262423088</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v>
      </c>
      <c r="AX63" s="10">
        <f t="shared" si="122"/>
        <v>0</v>
      </c>
      <c r="AY63" s="10">
        <f t="shared" si="122"/>
        <v>0</v>
      </c>
      <c r="AZ63" s="10">
        <f t="shared" si="122"/>
        <v>0</v>
      </c>
      <c r="BA63" s="10">
        <f t="shared" si="122"/>
        <v>0</v>
      </c>
      <c r="BB63" s="10">
        <f t="shared" si="122"/>
        <v>0.73129033023564005</v>
      </c>
      <c r="BC63" s="10">
        <f t="shared" si="122"/>
        <v>0</v>
      </c>
      <c r="BD63" s="10">
        <f t="shared" si="122"/>
        <v>0</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0.73129033023564005</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v>
      </c>
      <c r="AV64" s="10">
        <f t="shared" si="125"/>
        <v>0</v>
      </c>
      <c r="AW64" s="10">
        <f t="shared" si="125"/>
        <v>0</v>
      </c>
      <c r="AX64" s="10">
        <f t="shared" si="125"/>
        <v>0</v>
      </c>
      <c r="AY64" s="10">
        <f t="shared" si="125"/>
        <v>0.68561941850993013</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0.68561941850993013</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v>
      </c>
      <c r="AT65" s="10">
        <f t="shared" si="128"/>
        <v>0</v>
      </c>
      <c r="AU65" s="10">
        <f t="shared" si="128"/>
        <v>0</v>
      </c>
      <c r="AV65" s="10">
        <f t="shared" si="128"/>
        <v>0.63998271404280338</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0.63998271404280338</v>
      </c>
    </row>
    <row r="67" spans="2:86" ht="16.5" customHeight="1">
      <c r="B67" s="10" t="s">
        <v>782</v>
      </c>
      <c r="C67" s="10">
        <f t="shared" ref="C67:AH67" si="130">2*C$10*(C$5+C$11*C$6)/(SQRT(2)*C$9*SIN(C33))</f>
        <v>0.64086170212765958</v>
      </c>
      <c r="D67" s="10">
        <f t="shared" si="130"/>
        <v>0.64086170212765958</v>
      </c>
      <c r="E67" s="10">
        <f t="shared" si="130"/>
        <v>0.64086170212765958</v>
      </c>
      <c r="F67" s="10">
        <f t="shared" si="130"/>
        <v>0.64086170212765958</v>
      </c>
      <c r="G67" s="10">
        <f t="shared" si="130"/>
        <v>0.64086170212765958</v>
      </c>
      <c r="H67" s="10">
        <f t="shared" si="130"/>
        <v>0.64086170212765958</v>
      </c>
      <c r="I67" s="10">
        <f t="shared" si="130"/>
        <v>0.64086170212765958</v>
      </c>
      <c r="J67" s="10">
        <f t="shared" si="130"/>
        <v>0.64086170212765958</v>
      </c>
      <c r="K67" s="10">
        <f t="shared" si="130"/>
        <v>0.64086170212765958</v>
      </c>
      <c r="L67" s="10">
        <f t="shared" si="130"/>
        <v>0.64086170212765958</v>
      </c>
      <c r="M67" s="10">
        <f t="shared" si="130"/>
        <v>0.64086170212765958</v>
      </c>
      <c r="N67" s="10">
        <f t="shared" si="130"/>
        <v>0.64086170212765958</v>
      </c>
      <c r="O67" s="10">
        <f t="shared" si="130"/>
        <v>0.64086170212765958</v>
      </c>
      <c r="P67" s="10">
        <f t="shared" si="130"/>
        <v>0.64086170212765958</v>
      </c>
      <c r="Q67" s="10">
        <f t="shared" si="130"/>
        <v>0.64086170212765958</v>
      </c>
      <c r="R67" s="10">
        <f t="shared" si="130"/>
        <v>0.64086170212765958</v>
      </c>
      <c r="S67" s="10">
        <f t="shared" si="130"/>
        <v>0.64086170212765958</v>
      </c>
      <c r="T67" s="10">
        <f t="shared" si="130"/>
        <v>0.64086170212765958</v>
      </c>
      <c r="U67" s="10">
        <f t="shared" si="130"/>
        <v>0.64086170212765958</v>
      </c>
      <c r="V67" s="10">
        <f t="shared" si="130"/>
        <v>0.64086170212765958</v>
      </c>
      <c r="W67" s="10">
        <f t="shared" si="130"/>
        <v>0.64086170212765958</v>
      </c>
      <c r="X67" s="10">
        <f t="shared" si="130"/>
        <v>0.64086170212765958</v>
      </c>
      <c r="Y67" s="10">
        <f t="shared" si="130"/>
        <v>0.64086170212765958</v>
      </c>
      <c r="Z67" s="10">
        <f t="shared" si="130"/>
        <v>0.64086170212765958</v>
      </c>
      <c r="AA67" s="10">
        <f t="shared" si="130"/>
        <v>0.64086170212765958</v>
      </c>
      <c r="AB67" s="10">
        <f t="shared" si="130"/>
        <v>0.64086170212765958</v>
      </c>
      <c r="AC67" s="10">
        <f t="shared" si="130"/>
        <v>0.64086170212765958</v>
      </c>
      <c r="AD67" s="10">
        <f t="shared" si="130"/>
        <v>0.64086170212765958</v>
      </c>
      <c r="AE67" s="10">
        <f t="shared" si="130"/>
        <v>0.64086170212765958</v>
      </c>
      <c r="AF67" s="10">
        <f t="shared" si="130"/>
        <v>0.64086170212765958</v>
      </c>
      <c r="AG67" s="10">
        <f t="shared" si="130"/>
        <v>0.64086170212765958</v>
      </c>
      <c r="AH67" s="10">
        <f t="shared" si="130"/>
        <v>0.64086170212765958</v>
      </c>
      <c r="AI67" s="10">
        <f t="shared" ref="AI67:BN67" si="131">2*AI$10*(AI$5+AI$11*AI$6)/(SQRT(2)*AI$9*SIN(AI33))</f>
        <v>0.64086170212765958</v>
      </c>
      <c r="AJ67" s="10">
        <f t="shared" si="131"/>
        <v>0.64086170212765958</v>
      </c>
      <c r="AK67" s="10">
        <f t="shared" si="131"/>
        <v>0.64086170212765958</v>
      </c>
      <c r="AL67" s="10">
        <f t="shared" si="131"/>
        <v>0.64086170212765958</v>
      </c>
      <c r="AM67" s="10">
        <f t="shared" si="131"/>
        <v>0.64086170212765958</v>
      </c>
      <c r="AN67" s="10">
        <f t="shared" si="131"/>
        <v>0.64086170212765958</v>
      </c>
      <c r="AO67" s="10">
        <f t="shared" si="131"/>
        <v>0.64086170212765958</v>
      </c>
      <c r="AP67" s="10">
        <f t="shared" si="131"/>
        <v>0.64086170212765958</v>
      </c>
      <c r="AQ67" s="10">
        <f t="shared" si="131"/>
        <v>0.64086170212765958</v>
      </c>
      <c r="AR67" s="10">
        <f t="shared" si="131"/>
        <v>0.64086170212765958</v>
      </c>
      <c r="AS67" s="10">
        <f t="shared" si="131"/>
        <v>0.64086170212765958</v>
      </c>
      <c r="AT67" s="10">
        <f t="shared" si="131"/>
        <v>0.64086170212765958</v>
      </c>
      <c r="AU67" s="10">
        <f t="shared" si="131"/>
        <v>0.64086170212765958</v>
      </c>
      <c r="AV67" s="10">
        <f t="shared" si="131"/>
        <v>0.64086170212765958</v>
      </c>
      <c r="AW67" s="10">
        <f t="shared" si="131"/>
        <v>0.64086170212765958</v>
      </c>
      <c r="AX67" s="10">
        <f t="shared" si="131"/>
        <v>0.64086170212765958</v>
      </c>
      <c r="AY67" s="10">
        <f t="shared" si="131"/>
        <v>0.64086170212765958</v>
      </c>
      <c r="AZ67" s="10">
        <f t="shared" si="131"/>
        <v>0.64086170212765958</v>
      </c>
      <c r="BA67" s="10">
        <f t="shared" si="131"/>
        <v>0.64086170212765958</v>
      </c>
      <c r="BB67" s="10">
        <f t="shared" si="131"/>
        <v>0.64086170212765958</v>
      </c>
      <c r="BC67" s="10">
        <f t="shared" si="131"/>
        <v>0.64086170212765958</v>
      </c>
      <c r="BD67" s="10">
        <f t="shared" si="131"/>
        <v>0.64086170212765958</v>
      </c>
      <c r="BE67" s="10">
        <f t="shared" si="131"/>
        <v>0.64086170212765958</v>
      </c>
      <c r="BF67" s="10">
        <f t="shared" si="131"/>
        <v>0.64086170212765958</v>
      </c>
      <c r="BG67" s="10">
        <f t="shared" si="131"/>
        <v>0.64086170212765958</v>
      </c>
      <c r="BH67" s="10">
        <f t="shared" si="131"/>
        <v>0.64086170212765958</v>
      </c>
      <c r="BI67" s="10">
        <f t="shared" si="131"/>
        <v>0.64086170212765958</v>
      </c>
      <c r="BJ67" s="10">
        <f t="shared" si="131"/>
        <v>0.64086170212765958</v>
      </c>
      <c r="BK67" s="10">
        <f t="shared" si="131"/>
        <v>0.64086170212765958</v>
      </c>
      <c r="BL67" s="10">
        <f t="shared" si="131"/>
        <v>0.64086170212765958</v>
      </c>
      <c r="BM67" s="10">
        <f t="shared" si="131"/>
        <v>0.64086170212765958</v>
      </c>
      <c r="BN67" s="10">
        <f t="shared" si="131"/>
        <v>0.64086170212765958</v>
      </c>
      <c r="BO67" s="10">
        <f t="shared" ref="BO67:CG67" si="132">2*BO$10*(BO$5+BO$11*BO$6)/(SQRT(2)*BO$9*SIN(BO33))</f>
        <v>0.64086170212765958</v>
      </c>
      <c r="BP67" s="10">
        <f t="shared" si="132"/>
        <v>0.64086170212765958</v>
      </c>
      <c r="BQ67" s="10">
        <f t="shared" si="132"/>
        <v>0.64086170212765958</v>
      </c>
      <c r="BR67" s="10">
        <f t="shared" si="132"/>
        <v>0.64086170212765958</v>
      </c>
      <c r="BS67" s="10">
        <f t="shared" si="132"/>
        <v>0.64086170212765958</v>
      </c>
      <c r="BT67" s="10">
        <f t="shared" si="132"/>
        <v>0.64086170212765958</v>
      </c>
      <c r="BU67" s="10">
        <f t="shared" si="132"/>
        <v>0.64086170212765958</v>
      </c>
      <c r="BV67" s="10">
        <f t="shared" si="132"/>
        <v>0.64086170212765958</v>
      </c>
      <c r="BW67" s="10">
        <f t="shared" si="132"/>
        <v>0.64086170212765958</v>
      </c>
      <c r="BX67" s="10">
        <f t="shared" si="132"/>
        <v>0.64086170212765958</v>
      </c>
      <c r="BY67" s="10">
        <f t="shared" si="132"/>
        <v>0.64086170212765958</v>
      </c>
      <c r="BZ67" s="10">
        <f t="shared" si="132"/>
        <v>0.64086170212765958</v>
      </c>
      <c r="CA67" s="10">
        <f t="shared" si="132"/>
        <v>0.64086170212765958</v>
      </c>
      <c r="CB67" s="10">
        <f t="shared" si="132"/>
        <v>0.64086170212765958</v>
      </c>
      <c r="CC67" s="10">
        <f t="shared" si="132"/>
        <v>0.64086170212765958</v>
      </c>
      <c r="CD67" s="10">
        <f t="shared" si="132"/>
        <v>0.64086170212765958</v>
      </c>
      <c r="CE67" s="10">
        <f t="shared" si="132"/>
        <v>0.64086170212765958</v>
      </c>
      <c r="CF67" s="10">
        <f t="shared" si="132"/>
        <v>0.64086170212765958</v>
      </c>
      <c r="CG67" s="10">
        <f t="shared" si="132"/>
        <v>0.64086170212765958</v>
      </c>
    </row>
    <row r="68" spans="2:86" ht="16.5" customHeight="1">
      <c r="B68" s="10" t="s">
        <v>825</v>
      </c>
      <c r="C68" s="10">
        <f t="shared" ref="C68:AH68" si="133">2*C$10*(C$5+C$11*C$6)/(SQRT(2)*C$9*SIN(C34))</f>
        <v>0.6634688551498279</v>
      </c>
      <c r="D68" s="10">
        <f t="shared" si="133"/>
        <v>0.6634688551498279</v>
      </c>
      <c r="E68" s="10">
        <f t="shared" si="133"/>
        <v>0.6634688551498279</v>
      </c>
      <c r="F68" s="10">
        <f t="shared" si="133"/>
        <v>0.6634688551498279</v>
      </c>
      <c r="G68" s="10">
        <f t="shared" si="133"/>
        <v>0.6634688551498279</v>
      </c>
      <c r="H68" s="10">
        <f t="shared" si="133"/>
        <v>0.6634688551498279</v>
      </c>
      <c r="I68" s="10">
        <f t="shared" si="133"/>
        <v>0.6634688551498279</v>
      </c>
      <c r="J68" s="10">
        <f t="shared" si="133"/>
        <v>0.6634688551498279</v>
      </c>
      <c r="K68" s="10">
        <f t="shared" si="133"/>
        <v>0.6634688551498279</v>
      </c>
      <c r="L68" s="10">
        <f t="shared" si="133"/>
        <v>0.6634688551498279</v>
      </c>
      <c r="M68" s="10">
        <f t="shared" si="133"/>
        <v>0.6634688551498279</v>
      </c>
      <c r="N68" s="10">
        <f t="shared" si="133"/>
        <v>0.6634688551498279</v>
      </c>
      <c r="O68" s="10">
        <f t="shared" si="133"/>
        <v>0.6634688551498279</v>
      </c>
      <c r="P68" s="10">
        <f t="shared" si="133"/>
        <v>0.6634688551498279</v>
      </c>
      <c r="Q68" s="10">
        <f t="shared" si="133"/>
        <v>0.6634688551498279</v>
      </c>
      <c r="R68" s="10">
        <f t="shared" si="133"/>
        <v>0.6634688551498279</v>
      </c>
      <c r="S68" s="10">
        <f t="shared" si="133"/>
        <v>0.6634688551498279</v>
      </c>
      <c r="T68" s="10">
        <f t="shared" si="133"/>
        <v>0.6634688551498279</v>
      </c>
      <c r="U68" s="10">
        <f t="shared" si="133"/>
        <v>0.6634688551498279</v>
      </c>
      <c r="V68" s="10">
        <f t="shared" si="133"/>
        <v>0.6634688551498279</v>
      </c>
      <c r="W68" s="10">
        <f t="shared" si="133"/>
        <v>0.6634688551498279</v>
      </c>
      <c r="X68" s="10">
        <f t="shared" si="133"/>
        <v>0.6634688551498279</v>
      </c>
      <c r="Y68" s="10">
        <f t="shared" si="133"/>
        <v>0.6634688551498279</v>
      </c>
      <c r="Z68" s="10">
        <f t="shared" si="133"/>
        <v>0.6634688551498279</v>
      </c>
      <c r="AA68" s="10">
        <f t="shared" si="133"/>
        <v>0.6634688551498279</v>
      </c>
      <c r="AB68" s="10">
        <f t="shared" si="133"/>
        <v>0.6634688551498279</v>
      </c>
      <c r="AC68" s="10">
        <f t="shared" si="133"/>
        <v>0.6634688551498279</v>
      </c>
      <c r="AD68" s="10">
        <f t="shared" si="133"/>
        <v>0.6634688551498279</v>
      </c>
      <c r="AE68" s="10">
        <f t="shared" si="133"/>
        <v>0.6634688551498279</v>
      </c>
      <c r="AF68" s="10">
        <f t="shared" si="133"/>
        <v>0.6634688551498279</v>
      </c>
      <c r="AG68" s="10">
        <f t="shared" si="133"/>
        <v>0.6634688551498279</v>
      </c>
      <c r="AH68" s="10">
        <f t="shared" si="133"/>
        <v>0.6634688551498279</v>
      </c>
      <c r="AI68" s="10">
        <f t="shared" ref="AI68:BN68" si="134">2*AI$10*(AI$5+AI$11*AI$6)/(SQRT(2)*AI$9*SIN(AI34))</f>
        <v>0.6634688551498279</v>
      </c>
      <c r="AJ68" s="10">
        <f t="shared" si="134"/>
        <v>0.6634688551498279</v>
      </c>
      <c r="AK68" s="10">
        <f t="shared" si="134"/>
        <v>0.6634688551498279</v>
      </c>
      <c r="AL68" s="10">
        <f t="shared" si="134"/>
        <v>0.6634688551498279</v>
      </c>
      <c r="AM68" s="10">
        <f t="shared" si="134"/>
        <v>0.6634688551498279</v>
      </c>
      <c r="AN68" s="10">
        <f t="shared" si="134"/>
        <v>0.6634688551498279</v>
      </c>
      <c r="AO68" s="10">
        <f t="shared" si="134"/>
        <v>0.6634688551498279</v>
      </c>
      <c r="AP68" s="10">
        <f t="shared" si="134"/>
        <v>0.6634688551498279</v>
      </c>
      <c r="AQ68" s="10">
        <f t="shared" si="134"/>
        <v>0.6634688551498279</v>
      </c>
      <c r="AR68" s="10">
        <f t="shared" si="134"/>
        <v>0.6634688551498279</v>
      </c>
      <c r="AS68" s="10">
        <f t="shared" si="134"/>
        <v>0.6634688551498279</v>
      </c>
      <c r="AT68" s="10">
        <f t="shared" si="134"/>
        <v>0.6634688551498279</v>
      </c>
      <c r="AU68" s="10">
        <f t="shared" si="134"/>
        <v>0.6634688551498279</v>
      </c>
      <c r="AV68" s="10">
        <f t="shared" si="134"/>
        <v>0.6634688551498279</v>
      </c>
      <c r="AW68" s="10">
        <f t="shared" si="134"/>
        <v>0.6634688551498279</v>
      </c>
      <c r="AX68" s="10">
        <f t="shared" si="134"/>
        <v>0.6634688551498279</v>
      </c>
      <c r="AY68" s="10">
        <f t="shared" si="134"/>
        <v>0.6634688551498279</v>
      </c>
      <c r="AZ68" s="10">
        <f t="shared" si="134"/>
        <v>0.6634688551498279</v>
      </c>
      <c r="BA68" s="10">
        <f t="shared" si="134"/>
        <v>0.6634688551498279</v>
      </c>
      <c r="BB68" s="10">
        <f t="shared" si="134"/>
        <v>0.6634688551498279</v>
      </c>
      <c r="BC68" s="10">
        <f t="shared" si="134"/>
        <v>0.6634688551498279</v>
      </c>
      <c r="BD68" s="10">
        <f t="shared" si="134"/>
        <v>0.6634688551498279</v>
      </c>
      <c r="BE68" s="10">
        <f t="shared" si="134"/>
        <v>0.6634688551498279</v>
      </c>
      <c r="BF68" s="10">
        <f t="shared" si="134"/>
        <v>0.6634688551498279</v>
      </c>
      <c r="BG68" s="10">
        <f t="shared" si="134"/>
        <v>0.6634688551498279</v>
      </c>
      <c r="BH68" s="10">
        <f t="shared" si="134"/>
        <v>0.6634688551498279</v>
      </c>
      <c r="BI68" s="10">
        <f t="shared" si="134"/>
        <v>0.6634688551498279</v>
      </c>
      <c r="BJ68" s="10">
        <f t="shared" si="134"/>
        <v>0.6634688551498279</v>
      </c>
      <c r="BK68" s="10">
        <f t="shared" si="134"/>
        <v>0.6634688551498279</v>
      </c>
      <c r="BL68" s="10">
        <f t="shared" si="134"/>
        <v>0.6634688551498279</v>
      </c>
      <c r="BM68" s="10">
        <f t="shared" si="134"/>
        <v>0.6634688551498279</v>
      </c>
      <c r="BN68" s="10">
        <f t="shared" si="134"/>
        <v>0.6634688551498279</v>
      </c>
      <c r="BO68" s="10">
        <f t="shared" ref="BO68:CG68" si="135">2*BO$10*(BO$5+BO$11*BO$6)/(SQRT(2)*BO$9*SIN(BO34))</f>
        <v>0.6634688551498279</v>
      </c>
      <c r="BP68" s="10">
        <f t="shared" si="135"/>
        <v>0.6634688551498279</v>
      </c>
      <c r="BQ68" s="10">
        <f t="shared" si="135"/>
        <v>0.6634688551498279</v>
      </c>
      <c r="BR68" s="10">
        <f t="shared" si="135"/>
        <v>0.6634688551498279</v>
      </c>
      <c r="BS68" s="10">
        <f t="shared" si="135"/>
        <v>0.6634688551498279</v>
      </c>
      <c r="BT68" s="10">
        <f t="shared" si="135"/>
        <v>0.6634688551498279</v>
      </c>
      <c r="BU68" s="10">
        <f t="shared" si="135"/>
        <v>0.6634688551498279</v>
      </c>
      <c r="BV68" s="10">
        <f t="shared" si="135"/>
        <v>0.6634688551498279</v>
      </c>
      <c r="BW68" s="10">
        <f t="shared" si="135"/>
        <v>0.6634688551498279</v>
      </c>
      <c r="BX68" s="10">
        <f t="shared" si="135"/>
        <v>0.6634688551498279</v>
      </c>
      <c r="BY68" s="10">
        <f t="shared" si="135"/>
        <v>0.6634688551498279</v>
      </c>
      <c r="BZ68" s="10">
        <f t="shared" si="135"/>
        <v>0.6634688551498279</v>
      </c>
      <c r="CA68" s="10">
        <f t="shared" si="135"/>
        <v>0.6634688551498279</v>
      </c>
      <c r="CB68" s="10">
        <f t="shared" si="135"/>
        <v>0.6634688551498279</v>
      </c>
      <c r="CC68" s="10">
        <f t="shared" si="135"/>
        <v>0.6634688551498279</v>
      </c>
      <c r="CD68" s="10">
        <f t="shared" si="135"/>
        <v>0.6634688551498279</v>
      </c>
      <c r="CE68" s="10">
        <f t="shared" si="135"/>
        <v>0.6634688551498279</v>
      </c>
      <c r="CF68" s="10">
        <f t="shared" si="135"/>
        <v>0.6634688551498279</v>
      </c>
      <c r="CG68" s="10">
        <f t="shared" si="135"/>
        <v>0.6634688551498279</v>
      </c>
    </row>
    <row r="69" spans="2:86" ht="16.5" customHeight="1">
      <c r="B69" s="10" t="s">
        <v>826</v>
      </c>
      <c r="C69" s="10">
        <f t="shared" ref="C69:AH69" si="136">2*C$10*(C$5+C$11*C$6)/(SQRT(2)*C$9*SIN(C35))</f>
        <v>0.74000335247345217</v>
      </c>
      <c r="D69" s="10">
        <f t="shared" si="136"/>
        <v>0.74000335247345217</v>
      </c>
      <c r="E69" s="10">
        <f t="shared" si="136"/>
        <v>0.74000335247345217</v>
      </c>
      <c r="F69" s="10">
        <f t="shared" si="136"/>
        <v>0.74000335247345217</v>
      </c>
      <c r="G69" s="10">
        <f t="shared" si="136"/>
        <v>0.74000335247345217</v>
      </c>
      <c r="H69" s="10">
        <f t="shared" si="136"/>
        <v>0.74000335247345217</v>
      </c>
      <c r="I69" s="10">
        <f t="shared" si="136"/>
        <v>0.74000335247345217</v>
      </c>
      <c r="J69" s="10">
        <f t="shared" si="136"/>
        <v>0.74000335247345217</v>
      </c>
      <c r="K69" s="10">
        <f t="shared" si="136"/>
        <v>0.74000335247345217</v>
      </c>
      <c r="L69" s="10">
        <f t="shared" si="136"/>
        <v>0.74000335247345217</v>
      </c>
      <c r="M69" s="10">
        <f t="shared" si="136"/>
        <v>0.74000335247345217</v>
      </c>
      <c r="N69" s="10">
        <f t="shared" si="136"/>
        <v>0.74000335247345217</v>
      </c>
      <c r="O69" s="10">
        <f t="shared" si="136"/>
        <v>0.74000335247345217</v>
      </c>
      <c r="P69" s="10">
        <f t="shared" si="136"/>
        <v>0.74000335247345217</v>
      </c>
      <c r="Q69" s="10">
        <f t="shared" si="136"/>
        <v>0.74000335247345217</v>
      </c>
      <c r="R69" s="10">
        <f t="shared" si="136"/>
        <v>0.74000335247345217</v>
      </c>
      <c r="S69" s="10">
        <f t="shared" si="136"/>
        <v>0.74000335247345217</v>
      </c>
      <c r="T69" s="10">
        <f t="shared" si="136"/>
        <v>0.74000335247345217</v>
      </c>
      <c r="U69" s="10">
        <f t="shared" si="136"/>
        <v>0.74000335247345217</v>
      </c>
      <c r="V69" s="10">
        <f t="shared" si="136"/>
        <v>0.74000335247345217</v>
      </c>
      <c r="W69" s="10">
        <f t="shared" si="136"/>
        <v>0.74000335247345217</v>
      </c>
      <c r="X69" s="10">
        <f t="shared" si="136"/>
        <v>0.74000335247345217</v>
      </c>
      <c r="Y69" s="10">
        <f t="shared" si="136"/>
        <v>0.74000335247345217</v>
      </c>
      <c r="Z69" s="10">
        <f t="shared" si="136"/>
        <v>0.74000335247345217</v>
      </c>
      <c r="AA69" s="10">
        <f t="shared" si="136"/>
        <v>0.74000335247345217</v>
      </c>
      <c r="AB69" s="10">
        <f t="shared" si="136"/>
        <v>0.74000335247345217</v>
      </c>
      <c r="AC69" s="10">
        <f t="shared" si="136"/>
        <v>0.74000335247345217</v>
      </c>
      <c r="AD69" s="10">
        <f t="shared" si="136"/>
        <v>0.74000335247345217</v>
      </c>
      <c r="AE69" s="10">
        <f t="shared" si="136"/>
        <v>0.74000335247345217</v>
      </c>
      <c r="AF69" s="10">
        <f t="shared" si="136"/>
        <v>0.74000335247345217</v>
      </c>
      <c r="AG69" s="10">
        <f t="shared" si="136"/>
        <v>0.74000335247345217</v>
      </c>
      <c r="AH69" s="10">
        <f t="shared" si="136"/>
        <v>0.74000335247345217</v>
      </c>
      <c r="AI69" s="10">
        <f t="shared" ref="AI69:BN69" si="137">2*AI$10*(AI$5+AI$11*AI$6)/(SQRT(2)*AI$9*SIN(AI35))</f>
        <v>0.74000335247345217</v>
      </c>
      <c r="AJ69" s="10">
        <f t="shared" si="137"/>
        <v>0.74000335247345217</v>
      </c>
      <c r="AK69" s="10">
        <f t="shared" si="137"/>
        <v>0.74000335247345217</v>
      </c>
      <c r="AL69" s="10">
        <f t="shared" si="137"/>
        <v>0.74000335247345217</v>
      </c>
      <c r="AM69" s="10">
        <f t="shared" si="137"/>
        <v>0.74000335247345217</v>
      </c>
      <c r="AN69" s="10">
        <f t="shared" si="137"/>
        <v>0.74000335247345217</v>
      </c>
      <c r="AO69" s="10">
        <f t="shared" si="137"/>
        <v>0.74000335247345217</v>
      </c>
      <c r="AP69" s="10">
        <f t="shared" si="137"/>
        <v>0.74000335247345217</v>
      </c>
      <c r="AQ69" s="10">
        <f t="shared" si="137"/>
        <v>0.74000335247345217</v>
      </c>
      <c r="AR69" s="10">
        <f t="shared" si="137"/>
        <v>0.74000335247345217</v>
      </c>
      <c r="AS69" s="10">
        <f t="shared" si="137"/>
        <v>0.74000335247345217</v>
      </c>
      <c r="AT69" s="10">
        <f t="shared" si="137"/>
        <v>0.74000335247345217</v>
      </c>
      <c r="AU69" s="10">
        <f t="shared" si="137"/>
        <v>0.74000335247345217</v>
      </c>
      <c r="AV69" s="10">
        <f t="shared" si="137"/>
        <v>0.74000335247345217</v>
      </c>
      <c r="AW69" s="10">
        <f t="shared" si="137"/>
        <v>0.74000335247345217</v>
      </c>
      <c r="AX69" s="10">
        <f t="shared" si="137"/>
        <v>0.74000335247345217</v>
      </c>
      <c r="AY69" s="10">
        <f t="shared" si="137"/>
        <v>0.74000335247345217</v>
      </c>
      <c r="AZ69" s="10">
        <f t="shared" si="137"/>
        <v>0.74000335247345217</v>
      </c>
      <c r="BA69" s="10">
        <f t="shared" si="137"/>
        <v>0.74000335247345217</v>
      </c>
      <c r="BB69" s="10">
        <f t="shared" si="137"/>
        <v>0.74000335247345217</v>
      </c>
      <c r="BC69" s="10">
        <f t="shared" si="137"/>
        <v>0.74000335247345217</v>
      </c>
      <c r="BD69" s="10">
        <f t="shared" si="137"/>
        <v>0.74000335247345217</v>
      </c>
      <c r="BE69" s="10">
        <f t="shared" si="137"/>
        <v>0.74000335247345217</v>
      </c>
      <c r="BF69" s="10">
        <f t="shared" si="137"/>
        <v>0.74000335247345217</v>
      </c>
      <c r="BG69" s="10">
        <f t="shared" si="137"/>
        <v>0.74000335247345217</v>
      </c>
      <c r="BH69" s="10">
        <f t="shared" si="137"/>
        <v>0.74000335247345217</v>
      </c>
      <c r="BI69" s="10">
        <f t="shared" si="137"/>
        <v>0.74000335247345217</v>
      </c>
      <c r="BJ69" s="10">
        <f t="shared" si="137"/>
        <v>0.74000335247345217</v>
      </c>
      <c r="BK69" s="10">
        <f t="shared" si="137"/>
        <v>0.74000335247345217</v>
      </c>
      <c r="BL69" s="10">
        <f t="shared" si="137"/>
        <v>0.74000335247345217</v>
      </c>
      <c r="BM69" s="10">
        <f t="shared" si="137"/>
        <v>0.74000335247345217</v>
      </c>
      <c r="BN69" s="10">
        <f t="shared" si="137"/>
        <v>0.74000335247345217</v>
      </c>
      <c r="BO69" s="10">
        <f t="shared" ref="BO69:CG69" si="138">2*BO$10*(BO$5+BO$11*BO$6)/(SQRT(2)*BO$9*SIN(BO35))</f>
        <v>0.74000335247345217</v>
      </c>
      <c r="BP69" s="10">
        <f t="shared" si="138"/>
        <v>0.74000335247345217</v>
      </c>
      <c r="BQ69" s="10">
        <f t="shared" si="138"/>
        <v>0.74000335247345217</v>
      </c>
      <c r="BR69" s="10">
        <f t="shared" si="138"/>
        <v>0.74000335247345217</v>
      </c>
      <c r="BS69" s="10">
        <f t="shared" si="138"/>
        <v>0.74000335247345217</v>
      </c>
      <c r="BT69" s="10">
        <f t="shared" si="138"/>
        <v>0.74000335247345217</v>
      </c>
      <c r="BU69" s="10">
        <f t="shared" si="138"/>
        <v>0.74000335247345217</v>
      </c>
      <c r="BV69" s="10">
        <f t="shared" si="138"/>
        <v>0.74000335247345217</v>
      </c>
      <c r="BW69" s="10">
        <f t="shared" si="138"/>
        <v>0.74000335247345217</v>
      </c>
      <c r="BX69" s="10">
        <f t="shared" si="138"/>
        <v>0.74000335247345217</v>
      </c>
      <c r="BY69" s="10">
        <f t="shared" si="138"/>
        <v>0.74000335247345217</v>
      </c>
      <c r="BZ69" s="10">
        <f t="shared" si="138"/>
        <v>0.74000335247345217</v>
      </c>
      <c r="CA69" s="10">
        <f t="shared" si="138"/>
        <v>0.74000335247345217</v>
      </c>
      <c r="CB69" s="10">
        <f t="shared" si="138"/>
        <v>0.74000335247345217</v>
      </c>
      <c r="CC69" s="10">
        <f t="shared" si="138"/>
        <v>0.74000335247345217</v>
      </c>
      <c r="CD69" s="10">
        <f t="shared" si="138"/>
        <v>0.74000335247345217</v>
      </c>
      <c r="CE69" s="10">
        <f t="shared" si="138"/>
        <v>0.74000335247345217</v>
      </c>
      <c r="CF69" s="10">
        <f t="shared" si="138"/>
        <v>0.74000335247345217</v>
      </c>
      <c r="CG69" s="10">
        <f t="shared" si="138"/>
        <v>0.74000335247345217</v>
      </c>
    </row>
    <row r="70" spans="2:86" ht="16.5" customHeight="1">
      <c r="B70" s="10" t="s">
        <v>827</v>
      </c>
      <c r="C70" s="10">
        <f t="shared" ref="C70:AH70" si="139">2*C$10*(C$5+C$11*C$6)/(SQRT(2)*C$9*SIN(C36))</f>
        <v>0.90631531075444283</v>
      </c>
      <c r="D70" s="10">
        <f t="shared" si="139"/>
        <v>0.90631531075444283</v>
      </c>
      <c r="E70" s="10">
        <f t="shared" si="139"/>
        <v>0.90631531075444283</v>
      </c>
      <c r="F70" s="10">
        <f t="shared" si="139"/>
        <v>0.90631531075444283</v>
      </c>
      <c r="G70" s="10">
        <f t="shared" si="139"/>
        <v>0.90631531075444283</v>
      </c>
      <c r="H70" s="10">
        <f t="shared" si="139"/>
        <v>0.90631531075444283</v>
      </c>
      <c r="I70" s="10">
        <f t="shared" si="139"/>
        <v>0.90631531075444283</v>
      </c>
      <c r="J70" s="10">
        <f t="shared" si="139"/>
        <v>0.90631531075444283</v>
      </c>
      <c r="K70" s="10">
        <f t="shared" si="139"/>
        <v>0.90631531075444283</v>
      </c>
      <c r="L70" s="10">
        <f t="shared" si="139"/>
        <v>0.90631531075444283</v>
      </c>
      <c r="M70" s="10">
        <f t="shared" si="139"/>
        <v>0.90631531075444283</v>
      </c>
      <c r="N70" s="10">
        <f t="shared" si="139"/>
        <v>0.90631531075444283</v>
      </c>
      <c r="O70" s="10">
        <f t="shared" si="139"/>
        <v>0.90631531075444283</v>
      </c>
      <c r="P70" s="10">
        <f t="shared" si="139"/>
        <v>0.90631531075444283</v>
      </c>
      <c r="Q70" s="10">
        <f t="shared" si="139"/>
        <v>0.90631531075444283</v>
      </c>
      <c r="R70" s="10">
        <f t="shared" si="139"/>
        <v>0.90631531075444283</v>
      </c>
      <c r="S70" s="10">
        <f t="shared" si="139"/>
        <v>0.90631531075444283</v>
      </c>
      <c r="T70" s="10">
        <f t="shared" si="139"/>
        <v>0.90631531075444283</v>
      </c>
      <c r="U70" s="10">
        <f t="shared" si="139"/>
        <v>0.90631531075444283</v>
      </c>
      <c r="V70" s="10">
        <f t="shared" si="139"/>
        <v>0.90631531075444283</v>
      </c>
      <c r="W70" s="10">
        <f t="shared" si="139"/>
        <v>0.90631531075444283</v>
      </c>
      <c r="X70" s="10">
        <f t="shared" si="139"/>
        <v>0.90631531075444283</v>
      </c>
      <c r="Y70" s="10">
        <f t="shared" si="139"/>
        <v>0.90631531075444283</v>
      </c>
      <c r="Z70" s="10">
        <f t="shared" si="139"/>
        <v>0.90631531075444283</v>
      </c>
      <c r="AA70" s="10">
        <f t="shared" si="139"/>
        <v>0.90631531075444283</v>
      </c>
      <c r="AB70" s="10">
        <f t="shared" si="139"/>
        <v>0.90631531075444283</v>
      </c>
      <c r="AC70" s="10">
        <f t="shared" si="139"/>
        <v>0.90631531075444283</v>
      </c>
      <c r="AD70" s="10">
        <f t="shared" si="139"/>
        <v>0.90631531075444283</v>
      </c>
      <c r="AE70" s="10">
        <f t="shared" si="139"/>
        <v>0.90631531075444283</v>
      </c>
      <c r="AF70" s="10">
        <f t="shared" si="139"/>
        <v>0.90631531075444283</v>
      </c>
      <c r="AG70" s="10">
        <f t="shared" si="139"/>
        <v>0.90631531075444283</v>
      </c>
      <c r="AH70" s="10">
        <f t="shared" si="139"/>
        <v>0.90631531075444283</v>
      </c>
      <c r="AI70" s="10">
        <f t="shared" ref="AI70:BN70" si="140">2*AI$10*(AI$5+AI$11*AI$6)/(SQRT(2)*AI$9*SIN(AI36))</f>
        <v>0.90631531075444283</v>
      </c>
      <c r="AJ70" s="10">
        <f t="shared" si="140"/>
        <v>0.90631531075444283</v>
      </c>
      <c r="AK70" s="10">
        <f t="shared" si="140"/>
        <v>0.90631531075444283</v>
      </c>
      <c r="AL70" s="10">
        <f t="shared" si="140"/>
        <v>0.90631531075444283</v>
      </c>
      <c r="AM70" s="10">
        <f t="shared" si="140"/>
        <v>0.90631531075444283</v>
      </c>
      <c r="AN70" s="10">
        <f t="shared" si="140"/>
        <v>0.90631531075444283</v>
      </c>
      <c r="AO70" s="10">
        <f t="shared" si="140"/>
        <v>0.90631531075444283</v>
      </c>
      <c r="AP70" s="10">
        <f t="shared" si="140"/>
        <v>0.90631531075444283</v>
      </c>
      <c r="AQ70" s="10">
        <f t="shared" si="140"/>
        <v>0.90631531075444283</v>
      </c>
      <c r="AR70" s="10">
        <f t="shared" si="140"/>
        <v>0.90631531075444283</v>
      </c>
      <c r="AS70" s="10">
        <f t="shared" si="140"/>
        <v>0.90631531075444283</v>
      </c>
      <c r="AT70" s="10">
        <f t="shared" si="140"/>
        <v>0.90631531075444283</v>
      </c>
      <c r="AU70" s="10">
        <f t="shared" si="140"/>
        <v>0.90631531075444283</v>
      </c>
      <c r="AV70" s="10">
        <f t="shared" si="140"/>
        <v>0.90631531075444283</v>
      </c>
      <c r="AW70" s="10">
        <f t="shared" si="140"/>
        <v>0.90631531075444283</v>
      </c>
      <c r="AX70" s="10">
        <f t="shared" si="140"/>
        <v>0.90631531075444283</v>
      </c>
      <c r="AY70" s="10">
        <f t="shared" si="140"/>
        <v>0.90631531075444283</v>
      </c>
      <c r="AZ70" s="10">
        <f t="shared" si="140"/>
        <v>0.90631531075444283</v>
      </c>
      <c r="BA70" s="10">
        <f t="shared" si="140"/>
        <v>0.90631531075444283</v>
      </c>
      <c r="BB70" s="10">
        <f t="shared" si="140"/>
        <v>0.90631531075444283</v>
      </c>
      <c r="BC70" s="10">
        <f t="shared" si="140"/>
        <v>0.90631531075444283</v>
      </c>
      <c r="BD70" s="10">
        <f t="shared" si="140"/>
        <v>0.90631531075444283</v>
      </c>
      <c r="BE70" s="10">
        <f t="shared" si="140"/>
        <v>0.90631531075444283</v>
      </c>
      <c r="BF70" s="10">
        <f t="shared" si="140"/>
        <v>0.90631531075444283</v>
      </c>
      <c r="BG70" s="10">
        <f t="shared" si="140"/>
        <v>0.90631531075444283</v>
      </c>
      <c r="BH70" s="10">
        <f t="shared" si="140"/>
        <v>0.90631531075444283</v>
      </c>
      <c r="BI70" s="10">
        <f t="shared" si="140"/>
        <v>0.90631531075444283</v>
      </c>
      <c r="BJ70" s="10">
        <f t="shared" si="140"/>
        <v>0.90631531075444283</v>
      </c>
      <c r="BK70" s="10">
        <f t="shared" si="140"/>
        <v>0.90631531075444283</v>
      </c>
      <c r="BL70" s="10">
        <f t="shared" si="140"/>
        <v>0.90631531075444283</v>
      </c>
      <c r="BM70" s="10">
        <f t="shared" si="140"/>
        <v>0.90631531075444283</v>
      </c>
      <c r="BN70" s="10">
        <f t="shared" si="140"/>
        <v>0.90631531075444283</v>
      </c>
      <c r="BO70" s="10">
        <f t="shared" ref="BO70:CG70" si="141">2*BO$10*(BO$5+BO$11*BO$6)/(SQRT(2)*BO$9*SIN(BO36))</f>
        <v>0.90631531075444283</v>
      </c>
      <c r="BP70" s="10">
        <f t="shared" si="141"/>
        <v>0.90631531075444283</v>
      </c>
      <c r="BQ70" s="10">
        <f t="shared" si="141"/>
        <v>0.90631531075444283</v>
      </c>
      <c r="BR70" s="10">
        <f t="shared" si="141"/>
        <v>0.90631531075444283</v>
      </c>
      <c r="BS70" s="10">
        <f t="shared" si="141"/>
        <v>0.90631531075444283</v>
      </c>
      <c r="BT70" s="10">
        <f t="shared" si="141"/>
        <v>0.90631531075444283</v>
      </c>
      <c r="BU70" s="10">
        <f t="shared" si="141"/>
        <v>0.90631531075444283</v>
      </c>
      <c r="BV70" s="10">
        <f t="shared" si="141"/>
        <v>0.90631531075444283</v>
      </c>
      <c r="BW70" s="10">
        <f t="shared" si="141"/>
        <v>0.90631531075444283</v>
      </c>
      <c r="BX70" s="10">
        <f t="shared" si="141"/>
        <v>0.90631531075444283</v>
      </c>
      <c r="BY70" s="10">
        <f t="shared" si="141"/>
        <v>0.90631531075444283</v>
      </c>
      <c r="BZ70" s="10">
        <f t="shared" si="141"/>
        <v>0.90631531075444283</v>
      </c>
      <c r="CA70" s="10">
        <f t="shared" si="141"/>
        <v>0.90631531075444283</v>
      </c>
      <c r="CB70" s="10">
        <f t="shared" si="141"/>
        <v>0.90631531075444283</v>
      </c>
      <c r="CC70" s="10">
        <f t="shared" si="141"/>
        <v>0.90631531075444283</v>
      </c>
      <c r="CD70" s="10">
        <f t="shared" si="141"/>
        <v>0.90631531075444283</v>
      </c>
      <c r="CE70" s="10">
        <f t="shared" si="141"/>
        <v>0.90631531075444283</v>
      </c>
      <c r="CF70" s="10">
        <f t="shared" si="141"/>
        <v>0.90631531075444283</v>
      </c>
      <c r="CG70" s="10">
        <f t="shared" si="141"/>
        <v>0.90631531075444283</v>
      </c>
    </row>
    <row r="71" spans="2:86" ht="16.5" customHeight="1">
      <c r="B71" s="10" t="s">
        <v>828</v>
      </c>
      <c r="C71" s="10">
        <f t="shared" ref="C71:AH71" si="142">2*C$10*(C$5+C$11*C$6)/(SQRT(2)*C$9*SIN(C37))</f>
        <v>1.2817234042553194</v>
      </c>
      <c r="D71" s="10">
        <f t="shared" si="142"/>
        <v>1.2817234042553194</v>
      </c>
      <c r="E71" s="10">
        <f t="shared" si="142"/>
        <v>1.2817234042553194</v>
      </c>
      <c r="F71" s="10">
        <f t="shared" si="142"/>
        <v>1.2817234042553194</v>
      </c>
      <c r="G71" s="10">
        <f t="shared" si="142"/>
        <v>1.2817234042553194</v>
      </c>
      <c r="H71" s="10">
        <f t="shared" si="142"/>
        <v>1.2817234042553194</v>
      </c>
      <c r="I71" s="10">
        <f t="shared" si="142"/>
        <v>1.2817234042553194</v>
      </c>
      <c r="J71" s="10">
        <f t="shared" si="142"/>
        <v>1.2817234042553194</v>
      </c>
      <c r="K71" s="10">
        <f t="shared" si="142"/>
        <v>1.2817234042553194</v>
      </c>
      <c r="L71" s="10">
        <f t="shared" si="142"/>
        <v>1.2817234042553194</v>
      </c>
      <c r="M71" s="10">
        <f t="shared" si="142"/>
        <v>1.2817234042553194</v>
      </c>
      <c r="N71" s="10">
        <f t="shared" si="142"/>
        <v>1.2817234042553194</v>
      </c>
      <c r="O71" s="10">
        <f t="shared" si="142"/>
        <v>1.2817234042553194</v>
      </c>
      <c r="P71" s="10">
        <f t="shared" si="142"/>
        <v>1.2817234042553194</v>
      </c>
      <c r="Q71" s="10">
        <f t="shared" si="142"/>
        <v>1.2817234042553194</v>
      </c>
      <c r="R71" s="10">
        <f t="shared" si="142"/>
        <v>1.2817234042553194</v>
      </c>
      <c r="S71" s="10">
        <f t="shared" si="142"/>
        <v>1.2817234042553194</v>
      </c>
      <c r="T71" s="10">
        <f t="shared" si="142"/>
        <v>1.2817234042553194</v>
      </c>
      <c r="U71" s="10">
        <f t="shared" si="142"/>
        <v>1.2817234042553194</v>
      </c>
      <c r="V71" s="10">
        <f t="shared" si="142"/>
        <v>1.2817234042553194</v>
      </c>
      <c r="W71" s="10">
        <f t="shared" si="142"/>
        <v>1.2817234042553194</v>
      </c>
      <c r="X71" s="10">
        <f t="shared" si="142"/>
        <v>1.2817234042553194</v>
      </c>
      <c r="Y71" s="10">
        <f t="shared" si="142"/>
        <v>1.2817234042553194</v>
      </c>
      <c r="Z71" s="10">
        <f t="shared" si="142"/>
        <v>1.2817234042553194</v>
      </c>
      <c r="AA71" s="10">
        <f t="shared" si="142"/>
        <v>1.2817234042553194</v>
      </c>
      <c r="AB71" s="10">
        <f t="shared" si="142"/>
        <v>1.2817234042553194</v>
      </c>
      <c r="AC71" s="10">
        <f t="shared" si="142"/>
        <v>1.2817234042553194</v>
      </c>
      <c r="AD71" s="10">
        <f t="shared" si="142"/>
        <v>1.2817234042553194</v>
      </c>
      <c r="AE71" s="10">
        <f t="shared" si="142"/>
        <v>1.2817234042553194</v>
      </c>
      <c r="AF71" s="10">
        <f t="shared" si="142"/>
        <v>1.2817234042553194</v>
      </c>
      <c r="AG71" s="10">
        <f t="shared" si="142"/>
        <v>1.2817234042553194</v>
      </c>
      <c r="AH71" s="10">
        <f t="shared" si="142"/>
        <v>1.2817234042553194</v>
      </c>
      <c r="AI71" s="10">
        <f t="shared" ref="AI71:BN71" si="143">2*AI$10*(AI$5+AI$11*AI$6)/(SQRT(2)*AI$9*SIN(AI37))</f>
        <v>1.2817234042553194</v>
      </c>
      <c r="AJ71" s="10">
        <f t="shared" si="143"/>
        <v>1.2817234042553194</v>
      </c>
      <c r="AK71" s="10">
        <f t="shared" si="143"/>
        <v>1.2817234042553194</v>
      </c>
      <c r="AL71" s="10">
        <f t="shared" si="143"/>
        <v>1.2817234042553194</v>
      </c>
      <c r="AM71" s="10">
        <f t="shared" si="143"/>
        <v>1.2817234042553194</v>
      </c>
      <c r="AN71" s="10">
        <f t="shared" si="143"/>
        <v>1.2817234042553194</v>
      </c>
      <c r="AO71" s="10">
        <f t="shared" si="143"/>
        <v>1.2817234042553194</v>
      </c>
      <c r="AP71" s="10">
        <f t="shared" si="143"/>
        <v>1.2817234042553194</v>
      </c>
      <c r="AQ71" s="10">
        <f t="shared" si="143"/>
        <v>1.2817234042553194</v>
      </c>
      <c r="AR71" s="10">
        <f t="shared" si="143"/>
        <v>1.2817234042553194</v>
      </c>
      <c r="AS71" s="10">
        <f t="shared" si="143"/>
        <v>1.2817234042553194</v>
      </c>
      <c r="AT71" s="10">
        <f t="shared" si="143"/>
        <v>1.2817234042553194</v>
      </c>
      <c r="AU71" s="10">
        <f t="shared" si="143"/>
        <v>1.2817234042553194</v>
      </c>
      <c r="AV71" s="10">
        <f t="shared" si="143"/>
        <v>1.2817234042553194</v>
      </c>
      <c r="AW71" s="10">
        <f t="shared" si="143"/>
        <v>1.2817234042553194</v>
      </c>
      <c r="AX71" s="10">
        <f t="shared" si="143"/>
        <v>1.2817234042553194</v>
      </c>
      <c r="AY71" s="10">
        <f t="shared" si="143"/>
        <v>1.2817234042553194</v>
      </c>
      <c r="AZ71" s="10">
        <f t="shared" si="143"/>
        <v>1.2817234042553194</v>
      </c>
      <c r="BA71" s="10">
        <f t="shared" si="143"/>
        <v>1.2817234042553194</v>
      </c>
      <c r="BB71" s="10">
        <f t="shared" si="143"/>
        <v>1.2817234042553194</v>
      </c>
      <c r="BC71" s="10">
        <f t="shared" si="143"/>
        <v>1.2817234042553194</v>
      </c>
      <c r="BD71" s="10">
        <f t="shared" si="143"/>
        <v>1.2817234042553194</v>
      </c>
      <c r="BE71" s="10">
        <f t="shared" si="143"/>
        <v>1.2817234042553194</v>
      </c>
      <c r="BF71" s="10">
        <f t="shared" si="143"/>
        <v>1.2817234042553194</v>
      </c>
      <c r="BG71" s="10">
        <f t="shared" si="143"/>
        <v>1.2817234042553194</v>
      </c>
      <c r="BH71" s="10">
        <f t="shared" si="143"/>
        <v>1.2817234042553194</v>
      </c>
      <c r="BI71" s="10">
        <f t="shared" si="143"/>
        <v>1.2817234042553194</v>
      </c>
      <c r="BJ71" s="10">
        <f t="shared" si="143"/>
        <v>1.2817234042553194</v>
      </c>
      <c r="BK71" s="10">
        <f t="shared" si="143"/>
        <v>1.2817234042553194</v>
      </c>
      <c r="BL71" s="10">
        <f t="shared" si="143"/>
        <v>1.2817234042553194</v>
      </c>
      <c r="BM71" s="10">
        <f t="shared" si="143"/>
        <v>1.2817234042553194</v>
      </c>
      <c r="BN71" s="10">
        <f t="shared" si="143"/>
        <v>1.2817234042553194</v>
      </c>
      <c r="BO71" s="10">
        <f t="shared" ref="BO71:CG71" si="144">2*BO$10*(BO$5+BO$11*BO$6)/(SQRT(2)*BO$9*SIN(BO37))</f>
        <v>1.2817234042553194</v>
      </c>
      <c r="BP71" s="10">
        <f t="shared" si="144"/>
        <v>1.2817234042553194</v>
      </c>
      <c r="BQ71" s="10">
        <f t="shared" si="144"/>
        <v>1.2817234042553194</v>
      </c>
      <c r="BR71" s="10">
        <f t="shared" si="144"/>
        <v>1.2817234042553194</v>
      </c>
      <c r="BS71" s="10">
        <f t="shared" si="144"/>
        <v>1.2817234042553194</v>
      </c>
      <c r="BT71" s="10">
        <f t="shared" si="144"/>
        <v>1.2817234042553194</v>
      </c>
      <c r="BU71" s="10">
        <f t="shared" si="144"/>
        <v>1.2817234042553194</v>
      </c>
      <c r="BV71" s="10">
        <f t="shared" si="144"/>
        <v>1.2817234042553194</v>
      </c>
      <c r="BW71" s="10">
        <f t="shared" si="144"/>
        <v>1.2817234042553194</v>
      </c>
      <c r="BX71" s="10">
        <f t="shared" si="144"/>
        <v>1.2817234042553194</v>
      </c>
      <c r="BY71" s="10">
        <f t="shared" si="144"/>
        <v>1.2817234042553194</v>
      </c>
      <c r="BZ71" s="10">
        <f t="shared" si="144"/>
        <v>1.2817234042553194</v>
      </c>
      <c r="CA71" s="10">
        <f t="shared" si="144"/>
        <v>1.2817234042553194</v>
      </c>
      <c r="CB71" s="10">
        <f t="shared" si="144"/>
        <v>1.2817234042553194</v>
      </c>
      <c r="CC71" s="10">
        <f t="shared" si="144"/>
        <v>1.2817234042553194</v>
      </c>
      <c r="CD71" s="10">
        <f t="shared" si="144"/>
        <v>1.2817234042553194</v>
      </c>
      <c r="CE71" s="10">
        <f t="shared" si="144"/>
        <v>1.2817234042553194</v>
      </c>
      <c r="CF71" s="10">
        <f t="shared" si="144"/>
        <v>1.2817234042553194</v>
      </c>
      <c r="CG71" s="10">
        <f t="shared" si="144"/>
        <v>1.2817234042553194</v>
      </c>
    </row>
    <row r="72" spans="2:86" ht="16.5" customHeight="1">
      <c r="B72" s="10" t="s">
        <v>829</v>
      </c>
      <c r="C72" s="10">
        <f t="shared" ref="C72:AH72" si="145">2*C$10*(C$5+C$11*C$6)/(SQRT(2)*C$9*SIN(C38))</f>
        <v>2.4760994766587139</v>
      </c>
      <c r="D72" s="10">
        <f t="shared" si="145"/>
        <v>2.4760994766587139</v>
      </c>
      <c r="E72" s="10">
        <f t="shared" si="145"/>
        <v>2.4760994766587139</v>
      </c>
      <c r="F72" s="10">
        <f t="shared" si="145"/>
        <v>2.4760994766587139</v>
      </c>
      <c r="G72" s="10">
        <f t="shared" si="145"/>
        <v>2.4760994766587139</v>
      </c>
      <c r="H72" s="10">
        <f t="shared" si="145"/>
        <v>2.4760994766587139</v>
      </c>
      <c r="I72" s="10">
        <f t="shared" si="145"/>
        <v>2.4760994766587139</v>
      </c>
      <c r="J72" s="10">
        <f t="shared" si="145"/>
        <v>2.4760994766587139</v>
      </c>
      <c r="K72" s="10">
        <f t="shared" si="145"/>
        <v>2.4760994766587139</v>
      </c>
      <c r="L72" s="10">
        <f t="shared" si="145"/>
        <v>2.4760994766587139</v>
      </c>
      <c r="M72" s="10">
        <f t="shared" si="145"/>
        <v>2.4760994766587139</v>
      </c>
      <c r="N72" s="10">
        <f t="shared" si="145"/>
        <v>2.4760994766587139</v>
      </c>
      <c r="O72" s="10">
        <f t="shared" si="145"/>
        <v>2.4760994766587139</v>
      </c>
      <c r="P72" s="10">
        <f t="shared" si="145"/>
        <v>2.4760994766587139</v>
      </c>
      <c r="Q72" s="10">
        <f t="shared" si="145"/>
        <v>2.4760994766587139</v>
      </c>
      <c r="R72" s="10">
        <f t="shared" si="145"/>
        <v>2.4760994766587139</v>
      </c>
      <c r="S72" s="10">
        <f t="shared" si="145"/>
        <v>2.4760994766587139</v>
      </c>
      <c r="T72" s="10">
        <f t="shared" si="145"/>
        <v>2.4760994766587139</v>
      </c>
      <c r="U72" s="10">
        <f t="shared" si="145"/>
        <v>2.4760994766587139</v>
      </c>
      <c r="V72" s="10">
        <f t="shared" si="145"/>
        <v>2.4760994766587139</v>
      </c>
      <c r="W72" s="10">
        <f t="shared" si="145"/>
        <v>2.4760994766587139</v>
      </c>
      <c r="X72" s="10">
        <f t="shared" si="145"/>
        <v>2.4760994766587139</v>
      </c>
      <c r="Y72" s="10">
        <f t="shared" si="145"/>
        <v>2.4760994766587139</v>
      </c>
      <c r="Z72" s="10">
        <f t="shared" si="145"/>
        <v>2.4760994766587139</v>
      </c>
      <c r="AA72" s="10">
        <f t="shared" si="145"/>
        <v>2.4760994766587139</v>
      </c>
      <c r="AB72" s="10">
        <f t="shared" si="145"/>
        <v>2.4760994766587139</v>
      </c>
      <c r="AC72" s="10">
        <f t="shared" si="145"/>
        <v>2.4760994766587139</v>
      </c>
      <c r="AD72" s="10">
        <f t="shared" si="145"/>
        <v>2.4760994766587139</v>
      </c>
      <c r="AE72" s="10">
        <f t="shared" si="145"/>
        <v>2.4760994766587139</v>
      </c>
      <c r="AF72" s="10">
        <f t="shared" si="145"/>
        <v>2.4760994766587139</v>
      </c>
      <c r="AG72" s="10">
        <f t="shared" si="145"/>
        <v>2.4760994766587139</v>
      </c>
      <c r="AH72" s="10">
        <f t="shared" si="145"/>
        <v>2.4760994766587139</v>
      </c>
      <c r="AI72" s="10">
        <f t="shared" ref="AI72:BN72" si="146">2*AI$10*(AI$5+AI$11*AI$6)/(SQRT(2)*AI$9*SIN(AI38))</f>
        <v>2.4760994766587139</v>
      </c>
      <c r="AJ72" s="10">
        <f t="shared" si="146"/>
        <v>2.4760994766587139</v>
      </c>
      <c r="AK72" s="10">
        <f t="shared" si="146"/>
        <v>2.4760994766587139</v>
      </c>
      <c r="AL72" s="10">
        <f t="shared" si="146"/>
        <v>2.4760994766587139</v>
      </c>
      <c r="AM72" s="10">
        <f t="shared" si="146"/>
        <v>2.4760994766587139</v>
      </c>
      <c r="AN72" s="10">
        <f t="shared" si="146"/>
        <v>2.4760994766587139</v>
      </c>
      <c r="AO72" s="10">
        <f t="shared" si="146"/>
        <v>2.4760994766587139</v>
      </c>
      <c r="AP72" s="10">
        <f t="shared" si="146"/>
        <v>2.4760994766587139</v>
      </c>
      <c r="AQ72" s="10">
        <f t="shared" si="146"/>
        <v>2.4760994766587139</v>
      </c>
      <c r="AR72" s="10">
        <f t="shared" si="146"/>
        <v>2.4760994766587139</v>
      </c>
      <c r="AS72" s="10">
        <f t="shared" si="146"/>
        <v>2.4760994766587139</v>
      </c>
      <c r="AT72" s="10">
        <f t="shared" si="146"/>
        <v>2.4760994766587139</v>
      </c>
      <c r="AU72" s="10">
        <f t="shared" si="146"/>
        <v>2.4760994766587139</v>
      </c>
      <c r="AV72" s="10">
        <f t="shared" si="146"/>
        <v>2.4760994766587139</v>
      </c>
      <c r="AW72" s="10">
        <f t="shared" si="146"/>
        <v>2.4760994766587139</v>
      </c>
      <c r="AX72" s="10">
        <f t="shared" si="146"/>
        <v>2.4760994766587139</v>
      </c>
      <c r="AY72" s="10">
        <f t="shared" si="146"/>
        <v>2.4760994766587139</v>
      </c>
      <c r="AZ72" s="10">
        <f t="shared" si="146"/>
        <v>2.4760994766587139</v>
      </c>
      <c r="BA72" s="10">
        <f t="shared" si="146"/>
        <v>2.4760994766587139</v>
      </c>
      <c r="BB72" s="10">
        <f t="shared" si="146"/>
        <v>2.4760994766587139</v>
      </c>
      <c r="BC72" s="10">
        <f t="shared" si="146"/>
        <v>2.4760994766587139</v>
      </c>
      <c r="BD72" s="10">
        <f t="shared" si="146"/>
        <v>2.4760994766587139</v>
      </c>
      <c r="BE72" s="10">
        <f t="shared" si="146"/>
        <v>2.4760994766587139</v>
      </c>
      <c r="BF72" s="10">
        <f t="shared" si="146"/>
        <v>2.4760994766587139</v>
      </c>
      <c r="BG72" s="10">
        <f t="shared" si="146"/>
        <v>2.4760994766587139</v>
      </c>
      <c r="BH72" s="10">
        <f t="shared" si="146"/>
        <v>2.4760994766587139</v>
      </c>
      <c r="BI72" s="10">
        <f t="shared" si="146"/>
        <v>2.4760994766587139</v>
      </c>
      <c r="BJ72" s="10">
        <f t="shared" si="146"/>
        <v>2.4760994766587139</v>
      </c>
      <c r="BK72" s="10">
        <f t="shared" si="146"/>
        <v>2.4760994766587139</v>
      </c>
      <c r="BL72" s="10">
        <f t="shared" si="146"/>
        <v>2.4760994766587139</v>
      </c>
      <c r="BM72" s="10">
        <f t="shared" si="146"/>
        <v>2.4760994766587139</v>
      </c>
      <c r="BN72" s="10">
        <f t="shared" si="146"/>
        <v>2.4760994766587139</v>
      </c>
      <c r="BO72" s="10">
        <f t="shared" ref="BO72:CG72" si="147">2*BO$10*(BO$5+BO$11*BO$6)/(SQRT(2)*BO$9*SIN(BO38))</f>
        <v>2.4760994766587139</v>
      </c>
      <c r="BP72" s="10">
        <f t="shared" si="147"/>
        <v>2.4760994766587139</v>
      </c>
      <c r="BQ72" s="10">
        <f t="shared" si="147"/>
        <v>2.4760994766587139</v>
      </c>
      <c r="BR72" s="10">
        <f t="shared" si="147"/>
        <v>2.4760994766587139</v>
      </c>
      <c r="BS72" s="10">
        <f t="shared" si="147"/>
        <v>2.4760994766587139</v>
      </c>
      <c r="BT72" s="10">
        <f t="shared" si="147"/>
        <v>2.4760994766587139</v>
      </c>
      <c r="BU72" s="10">
        <f t="shared" si="147"/>
        <v>2.4760994766587139</v>
      </c>
      <c r="BV72" s="10">
        <f t="shared" si="147"/>
        <v>2.4760994766587139</v>
      </c>
      <c r="BW72" s="10">
        <f t="shared" si="147"/>
        <v>2.4760994766587139</v>
      </c>
      <c r="BX72" s="10">
        <f t="shared" si="147"/>
        <v>2.4760994766587139</v>
      </c>
      <c r="BY72" s="10">
        <f t="shared" si="147"/>
        <v>2.4760994766587139</v>
      </c>
      <c r="BZ72" s="10">
        <f t="shared" si="147"/>
        <v>2.4760994766587139</v>
      </c>
      <c r="CA72" s="10">
        <f t="shared" si="147"/>
        <v>2.4760994766587139</v>
      </c>
      <c r="CB72" s="10">
        <f t="shared" si="147"/>
        <v>2.4760994766587139</v>
      </c>
      <c r="CC72" s="10">
        <f t="shared" si="147"/>
        <v>2.4760994766587139</v>
      </c>
      <c r="CD72" s="10">
        <f t="shared" si="147"/>
        <v>2.4760994766587139</v>
      </c>
      <c r="CE72" s="10">
        <f t="shared" si="147"/>
        <v>2.4760994766587139</v>
      </c>
      <c r="CF72" s="10">
        <f t="shared" si="147"/>
        <v>2.4760994766587139</v>
      </c>
      <c r="CG72" s="10">
        <f t="shared" si="147"/>
        <v>2.4760994766587139</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0</v>
      </c>
      <c r="BY74" s="10">
        <f t="shared" si="150"/>
        <v>0</v>
      </c>
      <c r="BZ74" s="10">
        <f t="shared" si="150"/>
        <v>0</v>
      </c>
      <c r="CA74" s="10">
        <f t="shared" si="150"/>
        <v>1.6419017063536328</v>
      </c>
      <c r="CB74" s="10">
        <f t="shared" si="150"/>
        <v>0</v>
      </c>
      <c r="CC74" s="10">
        <f t="shared" si="150"/>
        <v>0</v>
      </c>
      <c r="CD74" s="10">
        <f t="shared" si="150"/>
        <v>0</v>
      </c>
      <c r="CE74" s="10">
        <f t="shared" si="150"/>
        <v>0</v>
      </c>
      <c r="CF74" s="10">
        <f t="shared" si="150"/>
        <v>0</v>
      </c>
      <c r="CG74" s="10">
        <f t="shared" si="150"/>
        <v>0</v>
      </c>
      <c r="CH74" s="10">
        <f t="array" aca="1" ref="CH74" ca="1">IF(MAX(D74:CG74),MAX(D74:CG74),INDIRECT(CI47))</f>
        <v>1.6419017063536328</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0</v>
      </c>
      <c r="BY75" s="10">
        <f t="shared" si="153"/>
        <v>0</v>
      </c>
      <c r="BZ75" s="10">
        <f t="shared" si="153"/>
        <v>0</v>
      </c>
      <c r="CA75" s="10">
        <f t="shared" si="153"/>
        <v>1.6033068347344261</v>
      </c>
      <c r="CB75" s="10">
        <f t="shared" si="153"/>
        <v>0</v>
      </c>
      <c r="CC75" s="10">
        <f t="shared" si="153"/>
        <v>0</v>
      </c>
      <c r="CD75" s="10">
        <f t="shared" si="153"/>
        <v>0</v>
      </c>
      <c r="CE75" s="10">
        <f t="shared" si="153"/>
        <v>0</v>
      </c>
      <c r="CF75" s="10">
        <f t="shared" si="153"/>
        <v>0</v>
      </c>
      <c r="CG75" s="10">
        <f t="shared" si="153"/>
        <v>0</v>
      </c>
      <c r="CH75" s="10">
        <f t="array" aca="1" ref="CH75" ca="1">IF(MAX(D75:CG75),MAX(D75:CG75),INDIRECT(CI48))</f>
        <v>1.6033068347344261</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0</v>
      </c>
      <c r="BW76" s="10">
        <f t="shared" si="156"/>
        <v>0</v>
      </c>
      <c r="BX76" s="10">
        <f t="shared" si="156"/>
        <v>0</v>
      </c>
      <c r="BY76" s="10">
        <f t="shared" si="156"/>
        <v>1.4372263074322824</v>
      </c>
      <c r="BZ76" s="10">
        <f t="shared" si="156"/>
        <v>0</v>
      </c>
      <c r="CA76" s="10">
        <f t="shared" si="156"/>
        <v>0</v>
      </c>
      <c r="CB76" s="10">
        <f t="shared" si="156"/>
        <v>0</v>
      </c>
      <c r="CC76" s="10">
        <f t="shared" si="156"/>
        <v>0</v>
      </c>
      <c r="CD76" s="10">
        <f t="shared" si="156"/>
        <v>0</v>
      </c>
      <c r="CE76" s="10">
        <f t="shared" si="156"/>
        <v>0</v>
      </c>
      <c r="CF76" s="10">
        <f t="shared" si="156"/>
        <v>0</v>
      </c>
      <c r="CG76" s="10">
        <f t="shared" si="156"/>
        <v>0</v>
      </c>
      <c r="CH76" s="10">
        <f t="array" aca="1" ref="CH76" ca="1">IF(MAX(D76:CG76),MAX(D76:CG76),INDIRECT(CI49))</f>
        <v>1.4372263074322824</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1.1081910694642076</v>
      </c>
      <c r="BW77" s="10">
        <f t="shared" si="159"/>
        <v>0</v>
      </c>
      <c r="BX77" s="10">
        <f t="shared" si="159"/>
        <v>0</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1.1081910694642076</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v>
      </c>
      <c r="BD78" s="10">
        <f t="shared" si="161"/>
        <v>0</v>
      </c>
      <c r="BE78" s="10">
        <f t="shared" si="161"/>
        <v>0</v>
      </c>
      <c r="BF78" s="10">
        <f t="shared" si="161"/>
        <v>0</v>
      </c>
      <c r="BG78" s="10">
        <f t="shared" si="161"/>
        <v>0</v>
      </c>
      <c r="BH78" s="10">
        <f t="shared" si="161"/>
        <v>0</v>
      </c>
      <c r="BI78" s="10">
        <f t="shared" si="161"/>
        <v>0</v>
      </c>
      <c r="BJ78" s="10">
        <f t="shared" si="161"/>
        <v>0.84390579723953529</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0.84390579723953529</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v>
      </c>
      <c r="AV79" s="10">
        <f t="shared" si="164"/>
        <v>0</v>
      </c>
      <c r="AW79" s="10">
        <f t="shared" si="164"/>
        <v>0</v>
      </c>
      <c r="AX79" s="10">
        <f t="shared" si="164"/>
        <v>0</v>
      </c>
      <c r="AY79" s="10">
        <f t="shared" si="164"/>
        <v>0.69256184229616835</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0.69256184229616835</v>
      </c>
    </row>
    <row r="81" spans="2:86" ht="16.5" customHeight="1">
      <c r="B81" s="10" t="s">
        <v>836</v>
      </c>
      <c r="C81" s="10">
        <f t="shared" ref="C81:AH81" si="166">2*C$10*(C$5+C$11*C$6)/(SQRT(2)*C$8*SIN(C33))</f>
        <v>0.94659599123241789</v>
      </c>
      <c r="D81" s="10">
        <f t="shared" si="166"/>
        <v>0.94659599123241789</v>
      </c>
      <c r="E81" s="10">
        <f t="shared" si="166"/>
        <v>0.94659599123241789</v>
      </c>
      <c r="F81" s="10">
        <f t="shared" si="166"/>
        <v>0.94659599123241789</v>
      </c>
      <c r="G81" s="10">
        <f t="shared" si="166"/>
        <v>0.94659599123241789</v>
      </c>
      <c r="H81" s="10">
        <f t="shared" si="166"/>
        <v>0.94659599123241789</v>
      </c>
      <c r="I81" s="10">
        <f t="shared" si="166"/>
        <v>0.94659599123241789</v>
      </c>
      <c r="J81" s="10">
        <f t="shared" si="166"/>
        <v>0.94659599123241789</v>
      </c>
      <c r="K81" s="10">
        <f t="shared" si="166"/>
        <v>0.94659599123241789</v>
      </c>
      <c r="L81" s="10">
        <f t="shared" si="166"/>
        <v>0.94659599123241789</v>
      </c>
      <c r="M81" s="10">
        <f t="shared" si="166"/>
        <v>0.94659599123241789</v>
      </c>
      <c r="N81" s="10">
        <f t="shared" si="166"/>
        <v>0.94659599123241789</v>
      </c>
      <c r="O81" s="10">
        <f t="shared" si="166"/>
        <v>0.94659599123241789</v>
      </c>
      <c r="P81" s="10">
        <f t="shared" si="166"/>
        <v>0.94659599123241789</v>
      </c>
      <c r="Q81" s="10">
        <f t="shared" si="166"/>
        <v>0.94659599123241789</v>
      </c>
      <c r="R81" s="10">
        <f t="shared" si="166"/>
        <v>0.94659599123241789</v>
      </c>
      <c r="S81" s="10">
        <f t="shared" si="166"/>
        <v>0.94659599123241789</v>
      </c>
      <c r="T81" s="10">
        <f t="shared" si="166"/>
        <v>0.94659599123241789</v>
      </c>
      <c r="U81" s="10">
        <f t="shared" si="166"/>
        <v>0.94659599123241789</v>
      </c>
      <c r="V81" s="10">
        <f t="shared" si="166"/>
        <v>0.94659599123241789</v>
      </c>
      <c r="W81" s="10">
        <f t="shared" si="166"/>
        <v>0.94659599123241789</v>
      </c>
      <c r="X81" s="10">
        <f t="shared" si="166"/>
        <v>0.94659599123241789</v>
      </c>
      <c r="Y81" s="10">
        <f t="shared" si="166"/>
        <v>0.94659599123241789</v>
      </c>
      <c r="Z81" s="10">
        <f t="shared" si="166"/>
        <v>0.94659599123241789</v>
      </c>
      <c r="AA81" s="10">
        <f t="shared" si="166"/>
        <v>0.94659599123241789</v>
      </c>
      <c r="AB81" s="10">
        <f t="shared" si="166"/>
        <v>0.94659599123241789</v>
      </c>
      <c r="AC81" s="10">
        <f t="shared" si="166"/>
        <v>0.94659599123241789</v>
      </c>
      <c r="AD81" s="10">
        <f t="shared" si="166"/>
        <v>0.94659599123241789</v>
      </c>
      <c r="AE81" s="10">
        <f t="shared" si="166"/>
        <v>0.94659599123241789</v>
      </c>
      <c r="AF81" s="10">
        <f t="shared" si="166"/>
        <v>0.94659599123241789</v>
      </c>
      <c r="AG81" s="10">
        <f t="shared" si="166"/>
        <v>0.94659599123241789</v>
      </c>
      <c r="AH81" s="10">
        <f t="shared" si="166"/>
        <v>0.94659599123241789</v>
      </c>
      <c r="AI81" s="10">
        <f t="shared" ref="AI81:BN81" si="167">2*AI$10*(AI$5+AI$11*AI$6)/(SQRT(2)*AI$8*SIN(AI33))</f>
        <v>0.94659599123241789</v>
      </c>
      <c r="AJ81" s="10">
        <f t="shared" si="167"/>
        <v>0.94659599123241789</v>
      </c>
      <c r="AK81" s="10">
        <f t="shared" si="167"/>
        <v>0.94659599123241789</v>
      </c>
      <c r="AL81" s="10">
        <f t="shared" si="167"/>
        <v>0.94659599123241789</v>
      </c>
      <c r="AM81" s="10">
        <f t="shared" si="167"/>
        <v>0.94659599123241789</v>
      </c>
      <c r="AN81" s="10">
        <f t="shared" si="167"/>
        <v>0.94659599123241789</v>
      </c>
      <c r="AO81" s="10">
        <f t="shared" si="167"/>
        <v>0.94659599123241789</v>
      </c>
      <c r="AP81" s="10">
        <f t="shared" si="167"/>
        <v>0.94659599123241789</v>
      </c>
      <c r="AQ81" s="10">
        <f t="shared" si="167"/>
        <v>0.94659599123241789</v>
      </c>
      <c r="AR81" s="10">
        <f t="shared" si="167"/>
        <v>0.94659599123241789</v>
      </c>
      <c r="AS81" s="10">
        <f t="shared" si="167"/>
        <v>0.94659599123241789</v>
      </c>
      <c r="AT81" s="10">
        <f t="shared" si="167"/>
        <v>0.94659599123241789</v>
      </c>
      <c r="AU81" s="10">
        <f t="shared" si="167"/>
        <v>0.94659599123241789</v>
      </c>
      <c r="AV81" s="10">
        <f t="shared" si="167"/>
        <v>0.94659599123241789</v>
      </c>
      <c r="AW81" s="10">
        <f t="shared" si="167"/>
        <v>0.94659599123241789</v>
      </c>
      <c r="AX81" s="10">
        <f t="shared" si="167"/>
        <v>0.94659599123241789</v>
      </c>
      <c r="AY81" s="10">
        <f t="shared" si="167"/>
        <v>0.94659599123241789</v>
      </c>
      <c r="AZ81" s="10">
        <f t="shared" si="167"/>
        <v>0.94659599123241789</v>
      </c>
      <c r="BA81" s="10">
        <f t="shared" si="167"/>
        <v>0.94659599123241789</v>
      </c>
      <c r="BB81" s="10">
        <f t="shared" si="167"/>
        <v>0.94659599123241789</v>
      </c>
      <c r="BC81" s="10">
        <f t="shared" si="167"/>
        <v>0.94659599123241789</v>
      </c>
      <c r="BD81" s="10">
        <f t="shared" si="167"/>
        <v>0.94659599123241789</v>
      </c>
      <c r="BE81" s="10">
        <f t="shared" si="167"/>
        <v>0.94659599123241789</v>
      </c>
      <c r="BF81" s="10">
        <f t="shared" si="167"/>
        <v>0.94659599123241789</v>
      </c>
      <c r="BG81" s="10">
        <f t="shared" si="167"/>
        <v>0.94659599123241789</v>
      </c>
      <c r="BH81" s="10">
        <f t="shared" si="167"/>
        <v>0.94659599123241789</v>
      </c>
      <c r="BI81" s="10">
        <f t="shared" si="167"/>
        <v>0.94659599123241789</v>
      </c>
      <c r="BJ81" s="10">
        <f t="shared" si="167"/>
        <v>0.94659599123241789</v>
      </c>
      <c r="BK81" s="10">
        <f t="shared" si="167"/>
        <v>0.94659599123241789</v>
      </c>
      <c r="BL81" s="10">
        <f t="shared" si="167"/>
        <v>0.94659599123241789</v>
      </c>
      <c r="BM81" s="10">
        <f t="shared" si="167"/>
        <v>0.94659599123241789</v>
      </c>
      <c r="BN81" s="10">
        <f t="shared" si="167"/>
        <v>0.94659599123241789</v>
      </c>
      <c r="BO81" s="10">
        <f t="shared" ref="BO81:CG81" si="168">2*BO$10*(BO$5+BO$11*BO$6)/(SQRT(2)*BO$8*SIN(BO33))</f>
        <v>0.94659599123241789</v>
      </c>
      <c r="BP81" s="10">
        <f t="shared" si="168"/>
        <v>0.94659599123241789</v>
      </c>
      <c r="BQ81" s="10">
        <f t="shared" si="168"/>
        <v>0.94659599123241789</v>
      </c>
      <c r="BR81" s="10">
        <f t="shared" si="168"/>
        <v>0.94659599123241789</v>
      </c>
      <c r="BS81" s="10">
        <f t="shared" si="168"/>
        <v>0.94659599123241789</v>
      </c>
      <c r="BT81" s="10">
        <f t="shared" si="168"/>
        <v>0.94659599123241789</v>
      </c>
      <c r="BU81" s="10">
        <f t="shared" si="168"/>
        <v>0.94659599123241789</v>
      </c>
      <c r="BV81" s="10">
        <f t="shared" si="168"/>
        <v>0.94659599123241789</v>
      </c>
      <c r="BW81" s="10">
        <f t="shared" si="168"/>
        <v>0.94659599123241789</v>
      </c>
      <c r="BX81" s="10">
        <f t="shared" si="168"/>
        <v>0.94659599123241789</v>
      </c>
      <c r="BY81" s="10">
        <f t="shared" si="168"/>
        <v>0.94659599123241789</v>
      </c>
      <c r="BZ81" s="10">
        <f t="shared" si="168"/>
        <v>0.94659599123241789</v>
      </c>
      <c r="CA81" s="10">
        <f t="shared" si="168"/>
        <v>0.94659599123241789</v>
      </c>
      <c r="CB81" s="10">
        <f t="shared" si="168"/>
        <v>0.94659599123241789</v>
      </c>
      <c r="CC81" s="10">
        <f t="shared" si="168"/>
        <v>0.94659599123241789</v>
      </c>
      <c r="CD81" s="10">
        <f t="shared" si="168"/>
        <v>0.94659599123241789</v>
      </c>
      <c r="CE81" s="10">
        <f t="shared" si="168"/>
        <v>0.94659599123241789</v>
      </c>
      <c r="CF81" s="10">
        <f t="shared" si="168"/>
        <v>0.94659599123241789</v>
      </c>
      <c r="CG81" s="10">
        <f t="shared" si="168"/>
        <v>0.94659599123241789</v>
      </c>
    </row>
    <row r="82" spans="2:86" ht="16.5" customHeight="1">
      <c r="B82" s="10" t="s">
        <v>837</v>
      </c>
      <c r="C82" s="10">
        <f t="shared" ref="C82:AH82" si="169">2*C$10*(C$5+C$11*C$6)/(SQRT(2)*C$8*SIN(C34))</f>
        <v>0.97998828219459411</v>
      </c>
      <c r="D82" s="10">
        <f t="shared" si="169"/>
        <v>0.97998828219459411</v>
      </c>
      <c r="E82" s="10">
        <f t="shared" si="169"/>
        <v>0.97998828219459411</v>
      </c>
      <c r="F82" s="10">
        <f t="shared" si="169"/>
        <v>0.97998828219459411</v>
      </c>
      <c r="G82" s="10">
        <f t="shared" si="169"/>
        <v>0.97998828219459411</v>
      </c>
      <c r="H82" s="10">
        <f t="shared" si="169"/>
        <v>0.97998828219459411</v>
      </c>
      <c r="I82" s="10">
        <f t="shared" si="169"/>
        <v>0.97998828219459411</v>
      </c>
      <c r="J82" s="10">
        <f t="shared" si="169"/>
        <v>0.97998828219459411</v>
      </c>
      <c r="K82" s="10">
        <f t="shared" si="169"/>
        <v>0.97998828219459411</v>
      </c>
      <c r="L82" s="10">
        <f t="shared" si="169"/>
        <v>0.97998828219459411</v>
      </c>
      <c r="M82" s="10">
        <f t="shared" si="169"/>
        <v>0.97998828219459411</v>
      </c>
      <c r="N82" s="10">
        <f t="shared" si="169"/>
        <v>0.97998828219459411</v>
      </c>
      <c r="O82" s="10">
        <f t="shared" si="169"/>
        <v>0.97998828219459411</v>
      </c>
      <c r="P82" s="10">
        <f t="shared" si="169"/>
        <v>0.97998828219459411</v>
      </c>
      <c r="Q82" s="10">
        <f t="shared" si="169"/>
        <v>0.97998828219459411</v>
      </c>
      <c r="R82" s="10">
        <f t="shared" si="169"/>
        <v>0.97998828219459411</v>
      </c>
      <c r="S82" s="10">
        <f t="shared" si="169"/>
        <v>0.97998828219459411</v>
      </c>
      <c r="T82" s="10">
        <f t="shared" si="169"/>
        <v>0.97998828219459411</v>
      </c>
      <c r="U82" s="10">
        <f t="shared" si="169"/>
        <v>0.97998828219459411</v>
      </c>
      <c r="V82" s="10">
        <f t="shared" si="169"/>
        <v>0.97998828219459411</v>
      </c>
      <c r="W82" s="10">
        <f t="shared" si="169"/>
        <v>0.97998828219459411</v>
      </c>
      <c r="X82" s="10">
        <f t="shared" si="169"/>
        <v>0.97998828219459411</v>
      </c>
      <c r="Y82" s="10">
        <f t="shared" si="169"/>
        <v>0.97998828219459411</v>
      </c>
      <c r="Z82" s="10">
        <f t="shared" si="169"/>
        <v>0.97998828219459411</v>
      </c>
      <c r="AA82" s="10">
        <f t="shared" si="169"/>
        <v>0.97998828219459411</v>
      </c>
      <c r="AB82" s="10">
        <f t="shared" si="169"/>
        <v>0.97998828219459411</v>
      </c>
      <c r="AC82" s="10">
        <f t="shared" si="169"/>
        <v>0.97998828219459411</v>
      </c>
      <c r="AD82" s="10">
        <f t="shared" si="169"/>
        <v>0.97998828219459411</v>
      </c>
      <c r="AE82" s="10">
        <f t="shared" si="169"/>
        <v>0.97998828219459411</v>
      </c>
      <c r="AF82" s="10">
        <f t="shared" si="169"/>
        <v>0.97998828219459411</v>
      </c>
      <c r="AG82" s="10">
        <f t="shared" si="169"/>
        <v>0.97998828219459411</v>
      </c>
      <c r="AH82" s="10">
        <f t="shared" si="169"/>
        <v>0.97998828219459411</v>
      </c>
      <c r="AI82" s="10">
        <f t="shared" ref="AI82:BN82" si="170">2*AI$10*(AI$5+AI$11*AI$6)/(SQRT(2)*AI$8*SIN(AI34))</f>
        <v>0.97998828219459411</v>
      </c>
      <c r="AJ82" s="10">
        <f t="shared" si="170"/>
        <v>0.97998828219459411</v>
      </c>
      <c r="AK82" s="10">
        <f t="shared" si="170"/>
        <v>0.97998828219459411</v>
      </c>
      <c r="AL82" s="10">
        <f t="shared" si="170"/>
        <v>0.97998828219459411</v>
      </c>
      <c r="AM82" s="10">
        <f t="shared" si="170"/>
        <v>0.97998828219459411</v>
      </c>
      <c r="AN82" s="10">
        <f t="shared" si="170"/>
        <v>0.97998828219459411</v>
      </c>
      <c r="AO82" s="10">
        <f t="shared" si="170"/>
        <v>0.97998828219459411</v>
      </c>
      <c r="AP82" s="10">
        <f t="shared" si="170"/>
        <v>0.97998828219459411</v>
      </c>
      <c r="AQ82" s="10">
        <f t="shared" si="170"/>
        <v>0.97998828219459411</v>
      </c>
      <c r="AR82" s="10">
        <f t="shared" si="170"/>
        <v>0.97998828219459411</v>
      </c>
      <c r="AS82" s="10">
        <f t="shared" si="170"/>
        <v>0.97998828219459411</v>
      </c>
      <c r="AT82" s="10">
        <f t="shared" si="170"/>
        <v>0.97998828219459411</v>
      </c>
      <c r="AU82" s="10">
        <f t="shared" si="170"/>
        <v>0.97998828219459411</v>
      </c>
      <c r="AV82" s="10">
        <f t="shared" si="170"/>
        <v>0.97998828219459411</v>
      </c>
      <c r="AW82" s="10">
        <f t="shared" si="170"/>
        <v>0.97998828219459411</v>
      </c>
      <c r="AX82" s="10">
        <f t="shared" si="170"/>
        <v>0.97998828219459411</v>
      </c>
      <c r="AY82" s="10">
        <f t="shared" si="170"/>
        <v>0.97998828219459411</v>
      </c>
      <c r="AZ82" s="10">
        <f t="shared" si="170"/>
        <v>0.97998828219459411</v>
      </c>
      <c r="BA82" s="10">
        <f t="shared" si="170"/>
        <v>0.97998828219459411</v>
      </c>
      <c r="BB82" s="10">
        <f t="shared" si="170"/>
        <v>0.97998828219459411</v>
      </c>
      <c r="BC82" s="10">
        <f t="shared" si="170"/>
        <v>0.97998828219459411</v>
      </c>
      <c r="BD82" s="10">
        <f t="shared" si="170"/>
        <v>0.97998828219459411</v>
      </c>
      <c r="BE82" s="10">
        <f t="shared" si="170"/>
        <v>0.97998828219459411</v>
      </c>
      <c r="BF82" s="10">
        <f t="shared" si="170"/>
        <v>0.97998828219459411</v>
      </c>
      <c r="BG82" s="10">
        <f t="shared" si="170"/>
        <v>0.97998828219459411</v>
      </c>
      <c r="BH82" s="10">
        <f t="shared" si="170"/>
        <v>0.97998828219459411</v>
      </c>
      <c r="BI82" s="10">
        <f t="shared" si="170"/>
        <v>0.97998828219459411</v>
      </c>
      <c r="BJ82" s="10">
        <f t="shared" si="170"/>
        <v>0.97998828219459411</v>
      </c>
      <c r="BK82" s="10">
        <f t="shared" si="170"/>
        <v>0.97998828219459411</v>
      </c>
      <c r="BL82" s="10">
        <f t="shared" si="170"/>
        <v>0.97998828219459411</v>
      </c>
      <c r="BM82" s="10">
        <f t="shared" si="170"/>
        <v>0.97998828219459411</v>
      </c>
      <c r="BN82" s="10">
        <f t="shared" si="170"/>
        <v>0.97998828219459411</v>
      </c>
      <c r="BO82" s="10">
        <f t="shared" ref="BO82:CG82" si="171">2*BO$10*(BO$5+BO$11*BO$6)/(SQRT(2)*BO$8*SIN(BO34))</f>
        <v>0.97998828219459411</v>
      </c>
      <c r="BP82" s="10">
        <f t="shared" si="171"/>
        <v>0.97998828219459411</v>
      </c>
      <c r="BQ82" s="10">
        <f t="shared" si="171"/>
        <v>0.97998828219459411</v>
      </c>
      <c r="BR82" s="10">
        <f t="shared" si="171"/>
        <v>0.97998828219459411</v>
      </c>
      <c r="BS82" s="10">
        <f t="shared" si="171"/>
        <v>0.97998828219459411</v>
      </c>
      <c r="BT82" s="10">
        <f t="shared" si="171"/>
        <v>0.97998828219459411</v>
      </c>
      <c r="BU82" s="10">
        <f t="shared" si="171"/>
        <v>0.97998828219459411</v>
      </c>
      <c r="BV82" s="10">
        <f t="shared" si="171"/>
        <v>0.97998828219459411</v>
      </c>
      <c r="BW82" s="10">
        <f t="shared" si="171"/>
        <v>0.97998828219459411</v>
      </c>
      <c r="BX82" s="10">
        <f t="shared" si="171"/>
        <v>0.97998828219459411</v>
      </c>
      <c r="BY82" s="10">
        <f t="shared" si="171"/>
        <v>0.97998828219459411</v>
      </c>
      <c r="BZ82" s="10">
        <f t="shared" si="171"/>
        <v>0.97998828219459411</v>
      </c>
      <c r="CA82" s="10">
        <f t="shared" si="171"/>
        <v>0.97998828219459411</v>
      </c>
      <c r="CB82" s="10">
        <f t="shared" si="171"/>
        <v>0.97998828219459411</v>
      </c>
      <c r="CC82" s="10">
        <f t="shared" si="171"/>
        <v>0.97998828219459411</v>
      </c>
      <c r="CD82" s="10">
        <f t="shared" si="171"/>
        <v>0.97998828219459411</v>
      </c>
      <c r="CE82" s="10">
        <f t="shared" si="171"/>
        <v>0.97998828219459411</v>
      </c>
      <c r="CF82" s="10">
        <f t="shared" si="171"/>
        <v>0.97998828219459411</v>
      </c>
      <c r="CG82" s="10">
        <f t="shared" si="171"/>
        <v>0.97998828219459411</v>
      </c>
    </row>
    <row r="83" spans="2:86" ht="16.5" customHeight="1">
      <c r="B83" s="10" t="s">
        <v>838</v>
      </c>
      <c r="C83" s="10">
        <f t="shared" ref="C83:AH83" si="172">2*C$10*(C$5+C$11*C$6)/(SQRT(2)*C$8*SIN(C35))</f>
        <v>1.0930349007037141</v>
      </c>
      <c r="D83" s="10">
        <f t="shared" si="172"/>
        <v>1.0930349007037141</v>
      </c>
      <c r="E83" s="10">
        <f t="shared" si="172"/>
        <v>1.0930349007037141</v>
      </c>
      <c r="F83" s="10">
        <f t="shared" si="172"/>
        <v>1.0930349007037141</v>
      </c>
      <c r="G83" s="10">
        <f t="shared" si="172"/>
        <v>1.0930349007037141</v>
      </c>
      <c r="H83" s="10">
        <f t="shared" si="172"/>
        <v>1.0930349007037141</v>
      </c>
      <c r="I83" s="10">
        <f t="shared" si="172"/>
        <v>1.0930349007037141</v>
      </c>
      <c r="J83" s="10">
        <f t="shared" si="172"/>
        <v>1.0930349007037141</v>
      </c>
      <c r="K83" s="10">
        <f t="shared" si="172"/>
        <v>1.0930349007037141</v>
      </c>
      <c r="L83" s="10">
        <f t="shared" si="172"/>
        <v>1.0930349007037141</v>
      </c>
      <c r="M83" s="10">
        <f t="shared" si="172"/>
        <v>1.0930349007037141</v>
      </c>
      <c r="N83" s="10">
        <f t="shared" si="172"/>
        <v>1.0930349007037141</v>
      </c>
      <c r="O83" s="10">
        <f t="shared" si="172"/>
        <v>1.0930349007037141</v>
      </c>
      <c r="P83" s="10">
        <f t="shared" si="172"/>
        <v>1.0930349007037141</v>
      </c>
      <c r="Q83" s="10">
        <f t="shared" si="172"/>
        <v>1.0930349007037141</v>
      </c>
      <c r="R83" s="10">
        <f t="shared" si="172"/>
        <v>1.0930349007037141</v>
      </c>
      <c r="S83" s="10">
        <f t="shared" si="172"/>
        <v>1.0930349007037141</v>
      </c>
      <c r="T83" s="10">
        <f t="shared" si="172"/>
        <v>1.0930349007037141</v>
      </c>
      <c r="U83" s="10">
        <f t="shared" si="172"/>
        <v>1.0930349007037141</v>
      </c>
      <c r="V83" s="10">
        <f t="shared" si="172"/>
        <v>1.0930349007037141</v>
      </c>
      <c r="W83" s="10">
        <f t="shared" si="172"/>
        <v>1.0930349007037141</v>
      </c>
      <c r="X83" s="10">
        <f t="shared" si="172"/>
        <v>1.0930349007037141</v>
      </c>
      <c r="Y83" s="10">
        <f t="shared" si="172"/>
        <v>1.0930349007037141</v>
      </c>
      <c r="Z83" s="10">
        <f t="shared" si="172"/>
        <v>1.0930349007037141</v>
      </c>
      <c r="AA83" s="10">
        <f t="shared" si="172"/>
        <v>1.0930349007037141</v>
      </c>
      <c r="AB83" s="10">
        <f t="shared" si="172"/>
        <v>1.0930349007037141</v>
      </c>
      <c r="AC83" s="10">
        <f t="shared" si="172"/>
        <v>1.0930349007037141</v>
      </c>
      <c r="AD83" s="10">
        <f t="shared" si="172"/>
        <v>1.0930349007037141</v>
      </c>
      <c r="AE83" s="10">
        <f t="shared" si="172"/>
        <v>1.0930349007037141</v>
      </c>
      <c r="AF83" s="10">
        <f t="shared" si="172"/>
        <v>1.0930349007037141</v>
      </c>
      <c r="AG83" s="10">
        <f t="shared" si="172"/>
        <v>1.0930349007037141</v>
      </c>
      <c r="AH83" s="10">
        <f t="shared" si="172"/>
        <v>1.0930349007037141</v>
      </c>
      <c r="AI83" s="10">
        <f t="shared" ref="AI83:BN83" si="173">2*AI$10*(AI$5+AI$11*AI$6)/(SQRT(2)*AI$8*SIN(AI35))</f>
        <v>1.0930349007037141</v>
      </c>
      <c r="AJ83" s="10">
        <f t="shared" si="173"/>
        <v>1.0930349007037141</v>
      </c>
      <c r="AK83" s="10">
        <f t="shared" si="173"/>
        <v>1.0930349007037141</v>
      </c>
      <c r="AL83" s="10">
        <f t="shared" si="173"/>
        <v>1.0930349007037141</v>
      </c>
      <c r="AM83" s="10">
        <f t="shared" si="173"/>
        <v>1.0930349007037141</v>
      </c>
      <c r="AN83" s="10">
        <f t="shared" si="173"/>
        <v>1.0930349007037141</v>
      </c>
      <c r="AO83" s="10">
        <f t="shared" si="173"/>
        <v>1.0930349007037141</v>
      </c>
      <c r="AP83" s="10">
        <f t="shared" si="173"/>
        <v>1.0930349007037141</v>
      </c>
      <c r="AQ83" s="10">
        <f t="shared" si="173"/>
        <v>1.0930349007037141</v>
      </c>
      <c r="AR83" s="10">
        <f t="shared" si="173"/>
        <v>1.0930349007037141</v>
      </c>
      <c r="AS83" s="10">
        <f t="shared" si="173"/>
        <v>1.0930349007037141</v>
      </c>
      <c r="AT83" s="10">
        <f t="shared" si="173"/>
        <v>1.0930349007037141</v>
      </c>
      <c r="AU83" s="10">
        <f t="shared" si="173"/>
        <v>1.0930349007037141</v>
      </c>
      <c r="AV83" s="10">
        <f t="shared" si="173"/>
        <v>1.0930349007037141</v>
      </c>
      <c r="AW83" s="10">
        <f t="shared" si="173"/>
        <v>1.0930349007037141</v>
      </c>
      <c r="AX83" s="10">
        <f t="shared" si="173"/>
        <v>1.0930349007037141</v>
      </c>
      <c r="AY83" s="10">
        <f t="shared" si="173"/>
        <v>1.0930349007037141</v>
      </c>
      <c r="AZ83" s="10">
        <f t="shared" si="173"/>
        <v>1.0930349007037141</v>
      </c>
      <c r="BA83" s="10">
        <f t="shared" si="173"/>
        <v>1.0930349007037141</v>
      </c>
      <c r="BB83" s="10">
        <f t="shared" si="173"/>
        <v>1.0930349007037141</v>
      </c>
      <c r="BC83" s="10">
        <f t="shared" si="173"/>
        <v>1.0930349007037141</v>
      </c>
      <c r="BD83" s="10">
        <f t="shared" si="173"/>
        <v>1.0930349007037141</v>
      </c>
      <c r="BE83" s="10">
        <f t="shared" si="173"/>
        <v>1.0930349007037141</v>
      </c>
      <c r="BF83" s="10">
        <f t="shared" si="173"/>
        <v>1.0930349007037141</v>
      </c>
      <c r="BG83" s="10">
        <f t="shared" si="173"/>
        <v>1.0930349007037141</v>
      </c>
      <c r="BH83" s="10">
        <f t="shared" si="173"/>
        <v>1.0930349007037141</v>
      </c>
      <c r="BI83" s="10">
        <f t="shared" si="173"/>
        <v>1.0930349007037141</v>
      </c>
      <c r="BJ83" s="10">
        <f t="shared" si="173"/>
        <v>1.0930349007037141</v>
      </c>
      <c r="BK83" s="10">
        <f t="shared" si="173"/>
        <v>1.0930349007037141</v>
      </c>
      <c r="BL83" s="10">
        <f t="shared" si="173"/>
        <v>1.0930349007037141</v>
      </c>
      <c r="BM83" s="10">
        <f t="shared" si="173"/>
        <v>1.0930349007037141</v>
      </c>
      <c r="BN83" s="10">
        <f t="shared" si="173"/>
        <v>1.0930349007037141</v>
      </c>
      <c r="BO83" s="10">
        <f t="shared" ref="BO83:CG83" si="174">2*BO$10*(BO$5+BO$11*BO$6)/(SQRT(2)*BO$8*SIN(BO35))</f>
        <v>1.0930349007037141</v>
      </c>
      <c r="BP83" s="10">
        <f t="shared" si="174"/>
        <v>1.0930349007037141</v>
      </c>
      <c r="BQ83" s="10">
        <f t="shared" si="174"/>
        <v>1.0930349007037141</v>
      </c>
      <c r="BR83" s="10">
        <f t="shared" si="174"/>
        <v>1.0930349007037141</v>
      </c>
      <c r="BS83" s="10">
        <f t="shared" si="174"/>
        <v>1.0930349007037141</v>
      </c>
      <c r="BT83" s="10">
        <f t="shared" si="174"/>
        <v>1.0930349007037141</v>
      </c>
      <c r="BU83" s="10">
        <f t="shared" si="174"/>
        <v>1.0930349007037141</v>
      </c>
      <c r="BV83" s="10">
        <f t="shared" si="174"/>
        <v>1.0930349007037141</v>
      </c>
      <c r="BW83" s="10">
        <f t="shared" si="174"/>
        <v>1.0930349007037141</v>
      </c>
      <c r="BX83" s="10">
        <f t="shared" si="174"/>
        <v>1.0930349007037141</v>
      </c>
      <c r="BY83" s="10">
        <f t="shared" si="174"/>
        <v>1.0930349007037141</v>
      </c>
      <c r="BZ83" s="10">
        <f t="shared" si="174"/>
        <v>1.0930349007037141</v>
      </c>
      <c r="CA83" s="10">
        <f t="shared" si="174"/>
        <v>1.0930349007037141</v>
      </c>
      <c r="CB83" s="10">
        <f t="shared" si="174"/>
        <v>1.0930349007037141</v>
      </c>
      <c r="CC83" s="10">
        <f t="shared" si="174"/>
        <v>1.0930349007037141</v>
      </c>
      <c r="CD83" s="10">
        <f t="shared" si="174"/>
        <v>1.0930349007037141</v>
      </c>
      <c r="CE83" s="10">
        <f t="shared" si="174"/>
        <v>1.0930349007037141</v>
      </c>
      <c r="CF83" s="10">
        <f t="shared" si="174"/>
        <v>1.0930349007037141</v>
      </c>
      <c r="CG83" s="10">
        <f t="shared" si="174"/>
        <v>1.0930349007037141</v>
      </c>
    </row>
    <row r="84" spans="2:86" ht="16.5" customHeight="1">
      <c r="B84" s="10" t="s">
        <v>839</v>
      </c>
      <c r="C84" s="10">
        <f t="shared" ref="C84:AH84" si="175">2*C$10*(C$5+C$11*C$6)/(SQRT(2)*C$8*SIN(C36))</f>
        <v>1.3386888888888888</v>
      </c>
      <c r="D84" s="10">
        <f t="shared" si="175"/>
        <v>1.3386888888888888</v>
      </c>
      <c r="E84" s="10">
        <f t="shared" si="175"/>
        <v>1.3386888888888888</v>
      </c>
      <c r="F84" s="10">
        <f t="shared" si="175"/>
        <v>1.3386888888888888</v>
      </c>
      <c r="G84" s="10">
        <f t="shared" si="175"/>
        <v>1.3386888888888888</v>
      </c>
      <c r="H84" s="10">
        <f t="shared" si="175"/>
        <v>1.3386888888888888</v>
      </c>
      <c r="I84" s="10">
        <f t="shared" si="175"/>
        <v>1.3386888888888888</v>
      </c>
      <c r="J84" s="10">
        <f t="shared" si="175"/>
        <v>1.3386888888888888</v>
      </c>
      <c r="K84" s="10">
        <f t="shared" si="175"/>
        <v>1.3386888888888888</v>
      </c>
      <c r="L84" s="10">
        <f t="shared" si="175"/>
        <v>1.3386888888888888</v>
      </c>
      <c r="M84" s="10">
        <f t="shared" si="175"/>
        <v>1.3386888888888888</v>
      </c>
      <c r="N84" s="10">
        <f t="shared" si="175"/>
        <v>1.3386888888888888</v>
      </c>
      <c r="O84" s="10">
        <f t="shared" si="175"/>
        <v>1.3386888888888888</v>
      </c>
      <c r="P84" s="10">
        <f t="shared" si="175"/>
        <v>1.3386888888888888</v>
      </c>
      <c r="Q84" s="10">
        <f t="shared" si="175"/>
        <v>1.3386888888888888</v>
      </c>
      <c r="R84" s="10">
        <f t="shared" si="175"/>
        <v>1.3386888888888888</v>
      </c>
      <c r="S84" s="10">
        <f t="shared" si="175"/>
        <v>1.3386888888888888</v>
      </c>
      <c r="T84" s="10">
        <f t="shared" si="175"/>
        <v>1.3386888888888888</v>
      </c>
      <c r="U84" s="10">
        <f t="shared" si="175"/>
        <v>1.3386888888888888</v>
      </c>
      <c r="V84" s="10">
        <f t="shared" si="175"/>
        <v>1.3386888888888888</v>
      </c>
      <c r="W84" s="10">
        <f t="shared" si="175"/>
        <v>1.3386888888888888</v>
      </c>
      <c r="X84" s="10">
        <f t="shared" si="175"/>
        <v>1.3386888888888888</v>
      </c>
      <c r="Y84" s="10">
        <f t="shared" si="175"/>
        <v>1.3386888888888888</v>
      </c>
      <c r="Z84" s="10">
        <f t="shared" si="175"/>
        <v>1.3386888888888888</v>
      </c>
      <c r="AA84" s="10">
        <f t="shared" si="175"/>
        <v>1.3386888888888888</v>
      </c>
      <c r="AB84" s="10">
        <f t="shared" si="175"/>
        <v>1.3386888888888888</v>
      </c>
      <c r="AC84" s="10">
        <f t="shared" si="175"/>
        <v>1.3386888888888888</v>
      </c>
      <c r="AD84" s="10">
        <f t="shared" si="175"/>
        <v>1.3386888888888888</v>
      </c>
      <c r="AE84" s="10">
        <f t="shared" si="175"/>
        <v>1.3386888888888888</v>
      </c>
      <c r="AF84" s="10">
        <f t="shared" si="175"/>
        <v>1.3386888888888888</v>
      </c>
      <c r="AG84" s="10">
        <f t="shared" si="175"/>
        <v>1.3386888888888888</v>
      </c>
      <c r="AH84" s="10">
        <f t="shared" si="175"/>
        <v>1.3386888888888888</v>
      </c>
      <c r="AI84" s="10">
        <f t="shared" ref="AI84:BN84" si="176">2*AI$10*(AI$5+AI$11*AI$6)/(SQRT(2)*AI$8*SIN(AI36))</f>
        <v>1.3386888888888888</v>
      </c>
      <c r="AJ84" s="10">
        <f t="shared" si="176"/>
        <v>1.3386888888888888</v>
      </c>
      <c r="AK84" s="10">
        <f t="shared" si="176"/>
        <v>1.3386888888888888</v>
      </c>
      <c r="AL84" s="10">
        <f t="shared" si="176"/>
        <v>1.3386888888888888</v>
      </c>
      <c r="AM84" s="10">
        <f t="shared" si="176"/>
        <v>1.3386888888888888</v>
      </c>
      <c r="AN84" s="10">
        <f t="shared" si="176"/>
        <v>1.3386888888888888</v>
      </c>
      <c r="AO84" s="10">
        <f t="shared" si="176"/>
        <v>1.3386888888888888</v>
      </c>
      <c r="AP84" s="10">
        <f t="shared" si="176"/>
        <v>1.3386888888888888</v>
      </c>
      <c r="AQ84" s="10">
        <f t="shared" si="176"/>
        <v>1.3386888888888888</v>
      </c>
      <c r="AR84" s="10">
        <f t="shared" si="176"/>
        <v>1.3386888888888888</v>
      </c>
      <c r="AS84" s="10">
        <f t="shared" si="176"/>
        <v>1.3386888888888888</v>
      </c>
      <c r="AT84" s="10">
        <f t="shared" si="176"/>
        <v>1.3386888888888888</v>
      </c>
      <c r="AU84" s="10">
        <f t="shared" si="176"/>
        <v>1.3386888888888888</v>
      </c>
      <c r="AV84" s="10">
        <f t="shared" si="176"/>
        <v>1.3386888888888888</v>
      </c>
      <c r="AW84" s="10">
        <f t="shared" si="176"/>
        <v>1.3386888888888888</v>
      </c>
      <c r="AX84" s="10">
        <f t="shared" si="176"/>
        <v>1.3386888888888888</v>
      </c>
      <c r="AY84" s="10">
        <f t="shared" si="176"/>
        <v>1.3386888888888888</v>
      </c>
      <c r="AZ84" s="10">
        <f t="shared" si="176"/>
        <v>1.3386888888888888</v>
      </c>
      <c r="BA84" s="10">
        <f t="shared" si="176"/>
        <v>1.3386888888888888</v>
      </c>
      <c r="BB84" s="10">
        <f t="shared" si="176"/>
        <v>1.3386888888888888</v>
      </c>
      <c r="BC84" s="10">
        <f t="shared" si="176"/>
        <v>1.3386888888888888</v>
      </c>
      <c r="BD84" s="10">
        <f t="shared" si="176"/>
        <v>1.3386888888888888</v>
      </c>
      <c r="BE84" s="10">
        <f t="shared" si="176"/>
        <v>1.3386888888888888</v>
      </c>
      <c r="BF84" s="10">
        <f t="shared" si="176"/>
        <v>1.3386888888888888</v>
      </c>
      <c r="BG84" s="10">
        <f t="shared" si="176"/>
        <v>1.3386888888888888</v>
      </c>
      <c r="BH84" s="10">
        <f t="shared" si="176"/>
        <v>1.3386888888888888</v>
      </c>
      <c r="BI84" s="10">
        <f t="shared" si="176"/>
        <v>1.3386888888888888</v>
      </c>
      <c r="BJ84" s="10">
        <f t="shared" si="176"/>
        <v>1.3386888888888888</v>
      </c>
      <c r="BK84" s="10">
        <f t="shared" si="176"/>
        <v>1.3386888888888888</v>
      </c>
      <c r="BL84" s="10">
        <f t="shared" si="176"/>
        <v>1.3386888888888888</v>
      </c>
      <c r="BM84" s="10">
        <f t="shared" si="176"/>
        <v>1.3386888888888888</v>
      </c>
      <c r="BN84" s="10">
        <f t="shared" si="176"/>
        <v>1.3386888888888888</v>
      </c>
      <c r="BO84" s="10">
        <f t="shared" ref="BO84:CG84" si="177">2*BO$10*(BO$5+BO$11*BO$6)/(SQRT(2)*BO$8*SIN(BO36))</f>
        <v>1.3386888888888888</v>
      </c>
      <c r="BP84" s="10">
        <f t="shared" si="177"/>
        <v>1.3386888888888888</v>
      </c>
      <c r="BQ84" s="10">
        <f t="shared" si="177"/>
        <v>1.3386888888888888</v>
      </c>
      <c r="BR84" s="10">
        <f t="shared" si="177"/>
        <v>1.3386888888888888</v>
      </c>
      <c r="BS84" s="10">
        <f t="shared" si="177"/>
        <v>1.3386888888888888</v>
      </c>
      <c r="BT84" s="10">
        <f t="shared" si="177"/>
        <v>1.3386888888888888</v>
      </c>
      <c r="BU84" s="10">
        <f t="shared" si="177"/>
        <v>1.3386888888888888</v>
      </c>
      <c r="BV84" s="10">
        <f t="shared" si="177"/>
        <v>1.3386888888888888</v>
      </c>
      <c r="BW84" s="10">
        <f t="shared" si="177"/>
        <v>1.3386888888888888</v>
      </c>
      <c r="BX84" s="10">
        <f t="shared" si="177"/>
        <v>1.3386888888888888</v>
      </c>
      <c r="BY84" s="10">
        <f t="shared" si="177"/>
        <v>1.3386888888888888</v>
      </c>
      <c r="BZ84" s="10">
        <f t="shared" si="177"/>
        <v>1.3386888888888888</v>
      </c>
      <c r="CA84" s="10">
        <f t="shared" si="177"/>
        <v>1.3386888888888888</v>
      </c>
      <c r="CB84" s="10">
        <f t="shared" si="177"/>
        <v>1.3386888888888888</v>
      </c>
      <c r="CC84" s="10">
        <f t="shared" si="177"/>
        <v>1.3386888888888888</v>
      </c>
      <c r="CD84" s="10">
        <f t="shared" si="177"/>
        <v>1.3386888888888888</v>
      </c>
      <c r="CE84" s="10">
        <f t="shared" si="177"/>
        <v>1.3386888888888888</v>
      </c>
      <c r="CF84" s="10">
        <f t="shared" si="177"/>
        <v>1.3386888888888888</v>
      </c>
      <c r="CG84" s="10">
        <f t="shared" si="177"/>
        <v>1.3386888888888888</v>
      </c>
    </row>
    <row r="85" spans="2:86" ht="16.5" customHeight="1">
      <c r="B85" s="10" t="s">
        <v>840</v>
      </c>
      <c r="C85" s="10">
        <f t="shared" ref="C85:AH85" si="178">2*C$10*(C$5+C$11*C$6)/(SQRT(2)*C$8*SIN(C37))</f>
        <v>1.8931919824648362</v>
      </c>
      <c r="D85" s="10">
        <f t="shared" si="178"/>
        <v>1.8931919824648362</v>
      </c>
      <c r="E85" s="10">
        <f t="shared" si="178"/>
        <v>1.8931919824648362</v>
      </c>
      <c r="F85" s="10">
        <f t="shared" si="178"/>
        <v>1.8931919824648362</v>
      </c>
      <c r="G85" s="10">
        <f t="shared" si="178"/>
        <v>1.8931919824648362</v>
      </c>
      <c r="H85" s="10">
        <f t="shared" si="178"/>
        <v>1.8931919824648362</v>
      </c>
      <c r="I85" s="10">
        <f t="shared" si="178"/>
        <v>1.8931919824648362</v>
      </c>
      <c r="J85" s="10">
        <f t="shared" si="178"/>
        <v>1.8931919824648362</v>
      </c>
      <c r="K85" s="10">
        <f t="shared" si="178"/>
        <v>1.8931919824648362</v>
      </c>
      <c r="L85" s="10">
        <f t="shared" si="178"/>
        <v>1.8931919824648362</v>
      </c>
      <c r="M85" s="10">
        <f t="shared" si="178"/>
        <v>1.8931919824648362</v>
      </c>
      <c r="N85" s="10">
        <f t="shared" si="178"/>
        <v>1.8931919824648362</v>
      </c>
      <c r="O85" s="10">
        <f t="shared" si="178"/>
        <v>1.8931919824648362</v>
      </c>
      <c r="P85" s="10">
        <f t="shared" si="178"/>
        <v>1.8931919824648362</v>
      </c>
      <c r="Q85" s="10">
        <f t="shared" si="178"/>
        <v>1.8931919824648362</v>
      </c>
      <c r="R85" s="10">
        <f t="shared" si="178"/>
        <v>1.8931919824648362</v>
      </c>
      <c r="S85" s="10">
        <f t="shared" si="178"/>
        <v>1.8931919824648362</v>
      </c>
      <c r="T85" s="10">
        <f t="shared" si="178"/>
        <v>1.8931919824648362</v>
      </c>
      <c r="U85" s="10">
        <f t="shared" si="178"/>
        <v>1.8931919824648362</v>
      </c>
      <c r="V85" s="10">
        <f t="shared" si="178"/>
        <v>1.8931919824648362</v>
      </c>
      <c r="W85" s="10">
        <f t="shared" si="178"/>
        <v>1.8931919824648362</v>
      </c>
      <c r="X85" s="10">
        <f t="shared" si="178"/>
        <v>1.8931919824648362</v>
      </c>
      <c r="Y85" s="10">
        <f t="shared" si="178"/>
        <v>1.8931919824648362</v>
      </c>
      <c r="Z85" s="10">
        <f t="shared" si="178"/>
        <v>1.8931919824648362</v>
      </c>
      <c r="AA85" s="10">
        <f t="shared" si="178"/>
        <v>1.8931919824648362</v>
      </c>
      <c r="AB85" s="10">
        <f t="shared" si="178"/>
        <v>1.8931919824648362</v>
      </c>
      <c r="AC85" s="10">
        <f t="shared" si="178"/>
        <v>1.8931919824648362</v>
      </c>
      <c r="AD85" s="10">
        <f t="shared" si="178"/>
        <v>1.8931919824648362</v>
      </c>
      <c r="AE85" s="10">
        <f t="shared" si="178"/>
        <v>1.8931919824648362</v>
      </c>
      <c r="AF85" s="10">
        <f t="shared" si="178"/>
        <v>1.8931919824648362</v>
      </c>
      <c r="AG85" s="10">
        <f t="shared" si="178"/>
        <v>1.8931919824648362</v>
      </c>
      <c r="AH85" s="10">
        <f t="shared" si="178"/>
        <v>1.8931919824648362</v>
      </c>
      <c r="AI85" s="10">
        <f t="shared" ref="AI85:BN85" si="179">2*AI$10*(AI$5+AI$11*AI$6)/(SQRT(2)*AI$8*SIN(AI37))</f>
        <v>1.8931919824648362</v>
      </c>
      <c r="AJ85" s="10">
        <f t="shared" si="179"/>
        <v>1.8931919824648362</v>
      </c>
      <c r="AK85" s="10">
        <f t="shared" si="179"/>
        <v>1.8931919824648362</v>
      </c>
      <c r="AL85" s="10">
        <f t="shared" si="179"/>
        <v>1.8931919824648362</v>
      </c>
      <c r="AM85" s="10">
        <f t="shared" si="179"/>
        <v>1.8931919824648362</v>
      </c>
      <c r="AN85" s="10">
        <f t="shared" si="179"/>
        <v>1.8931919824648362</v>
      </c>
      <c r="AO85" s="10">
        <f t="shared" si="179"/>
        <v>1.8931919824648362</v>
      </c>
      <c r="AP85" s="10">
        <f t="shared" si="179"/>
        <v>1.8931919824648362</v>
      </c>
      <c r="AQ85" s="10">
        <f t="shared" si="179"/>
        <v>1.8931919824648362</v>
      </c>
      <c r="AR85" s="10">
        <f t="shared" si="179"/>
        <v>1.8931919824648362</v>
      </c>
      <c r="AS85" s="10">
        <f t="shared" si="179"/>
        <v>1.8931919824648362</v>
      </c>
      <c r="AT85" s="10">
        <f t="shared" si="179"/>
        <v>1.8931919824648362</v>
      </c>
      <c r="AU85" s="10">
        <f t="shared" si="179"/>
        <v>1.8931919824648362</v>
      </c>
      <c r="AV85" s="10">
        <f t="shared" si="179"/>
        <v>1.8931919824648362</v>
      </c>
      <c r="AW85" s="10">
        <f t="shared" si="179"/>
        <v>1.8931919824648362</v>
      </c>
      <c r="AX85" s="10">
        <f t="shared" si="179"/>
        <v>1.8931919824648362</v>
      </c>
      <c r="AY85" s="10">
        <f t="shared" si="179"/>
        <v>1.8931919824648362</v>
      </c>
      <c r="AZ85" s="10">
        <f t="shared" si="179"/>
        <v>1.8931919824648362</v>
      </c>
      <c r="BA85" s="10">
        <f t="shared" si="179"/>
        <v>1.8931919824648362</v>
      </c>
      <c r="BB85" s="10">
        <f t="shared" si="179"/>
        <v>1.8931919824648362</v>
      </c>
      <c r="BC85" s="10">
        <f t="shared" si="179"/>
        <v>1.8931919824648362</v>
      </c>
      <c r="BD85" s="10">
        <f t="shared" si="179"/>
        <v>1.8931919824648362</v>
      </c>
      <c r="BE85" s="10">
        <f t="shared" si="179"/>
        <v>1.8931919824648362</v>
      </c>
      <c r="BF85" s="10">
        <f t="shared" si="179"/>
        <v>1.8931919824648362</v>
      </c>
      <c r="BG85" s="10">
        <f t="shared" si="179"/>
        <v>1.8931919824648362</v>
      </c>
      <c r="BH85" s="10">
        <f t="shared" si="179"/>
        <v>1.8931919824648362</v>
      </c>
      <c r="BI85" s="10">
        <f t="shared" si="179"/>
        <v>1.8931919824648362</v>
      </c>
      <c r="BJ85" s="10">
        <f t="shared" si="179"/>
        <v>1.8931919824648362</v>
      </c>
      <c r="BK85" s="10">
        <f t="shared" si="179"/>
        <v>1.8931919824648362</v>
      </c>
      <c r="BL85" s="10">
        <f t="shared" si="179"/>
        <v>1.8931919824648362</v>
      </c>
      <c r="BM85" s="10">
        <f t="shared" si="179"/>
        <v>1.8931919824648362</v>
      </c>
      <c r="BN85" s="10">
        <f t="shared" si="179"/>
        <v>1.8931919824648362</v>
      </c>
      <c r="BO85" s="10">
        <f t="shared" ref="BO85:CG85" si="180">2*BO$10*(BO$5+BO$11*BO$6)/(SQRT(2)*BO$8*SIN(BO37))</f>
        <v>1.8931919824648362</v>
      </c>
      <c r="BP85" s="10">
        <f t="shared" si="180"/>
        <v>1.8931919824648362</v>
      </c>
      <c r="BQ85" s="10">
        <f t="shared" si="180"/>
        <v>1.8931919824648362</v>
      </c>
      <c r="BR85" s="10">
        <f t="shared" si="180"/>
        <v>1.8931919824648362</v>
      </c>
      <c r="BS85" s="10">
        <f t="shared" si="180"/>
        <v>1.8931919824648362</v>
      </c>
      <c r="BT85" s="10">
        <f t="shared" si="180"/>
        <v>1.8931919824648362</v>
      </c>
      <c r="BU85" s="10">
        <f t="shared" si="180"/>
        <v>1.8931919824648362</v>
      </c>
      <c r="BV85" s="10">
        <f t="shared" si="180"/>
        <v>1.8931919824648362</v>
      </c>
      <c r="BW85" s="10">
        <f t="shared" si="180"/>
        <v>1.8931919824648362</v>
      </c>
      <c r="BX85" s="10">
        <f t="shared" si="180"/>
        <v>1.8931919824648362</v>
      </c>
      <c r="BY85" s="10">
        <f t="shared" si="180"/>
        <v>1.8931919824648362</v>
      </c>
      <c r="BZ85" s="10">
        <f t="shared" si="180"/>
        <v>1.8931919824648362</v>
      </c>
      <c r="CA85" s="10">
        <f t="shared" si="180"/>
        <v>1.8931919824648362</v>
      </c>
      <c r="CB85" s="10">
        <f t="shared" si="180"/>
        <v>1.8931919824648362</v>
      </c>
      <c r="CC85" s="10">
        <f t="shared" si="180"/>
        <v>1.8931919824648362</v>
      </c>
      <c r="CD85" s="10">
        <f t="shared" si="180"/>
        <v>1.8931919824648362</v>
      </c>
      <c r="CE85" s="10">
        <f t="shared" si="180"/>
        <v>1.8931919824648362</v>
      </c>
      <c r="CF85" s="10">
        <f t="shared" si="180"/>
        <v>1.8931919824648362</v>
      </c>
      <c r="CG85" s="10">
        <f t="shared" si="180"/>
        <v>1.8931919824648362</v>
      </c>
    </row>
    <row r="86" spans="2:86" ht="16.5" customHeight="1">
      <c r="B86" s="10" t="s">
        <v>841</v>
      </c>
      <c r="C86" s="10">
        <f t="shared" ref="C86:AH86" si="181">2*C$10*(C$5+C$11*C$6)/(SQRT(2)*C$8*SIN(C38))</f>
        <v>3.6573660599723721</v>
      </c>
      <c r="D86" s="10">
        <f t="shared" si="181"/>
        <v>3.6573660599723721</v>
      </c>
      <c r="E86" s="10">
        <f t="shared" si="181"/>
        <v>3.6573660599723721</v>
      </c>
      <c r="F86" s="10">
        <f t="shared" si="181"/>
        <v>3.6573660599723721</v>
      </c>
      <c r="G86" s="10">
        <f t="shared" si="181"/>
        <v>3.6573660599723721</v>
      </c>
      <c r="H86" s="10">
        <f t="shared" si="181"/>
        <v>3.6573660599723721</v>
      </c>
      <c r="I86" s="10">
        <f t="shared" si="181"/>
        <v>3.6573660599723721</v>
      </c>
      <c r="J86" s="10">
        <f t="shared" si="181"/>
        <v>3.6573660599723721</v>
      </c>
      <c r="K86" s="10">
        <f t="shared" si="181"/>
        <v>3.6573660599723721</v>
      </c>
      <c r="L86" s="10">
        <f t="shared" si="181"/>
        <v>3.6573660599723721</v>
      </c>
      <c r="M86" s="10">
        <f t="shared" si="181"/>
        <v>3.6573660599723721</v>
      </c>
      <c r="N86" s="10">
        <f t="shared" si="181"/>
        <v>3.6573660599723721</v>
      </c>
      <c r="O86" s="10">
        <f t="shared" si="181"/>
        <v>3.6573660599723721</v>
      </c>
      <c r="P86" s="10">
        <f t="shared" si="181"/>
        <v>3.6573660599723721</v>
      </c>
      <c r="Q86" s="10">
        <f t="shared" si="181"/>
        <v>3.6573660599723721</v>
      </c>
      <c r="R86" s="10">
        <f t="shared" si="181"/>
        <v>3.6573660599723721</v>
      </c>
      <c r="S86" s="10">
        <f t="shared" si="181"/>
        <v>3.6573660599723721</v>
      </c>
      <c r="T86" s="10">
        <f t="shared" si="181"/>
        <v>3.6573660599723721</v>
      </c>
      <c r="U86" s="10">
        <f t="shared" si="181"/>
        <v>3.6573660599723721</v>
      </c>
      <c r="V86" s="10">
        <f t="shared" si="181"/>
        <v>3.6573660599723721</v>
      </c>
      <c r="W86" s="10">
        <f t="shared" si="181"/>
        <v>3.6573660599723721</v>
      </c>
      <c r="X86" s="10">
        <f t="shared" si="181"/>
        <v>3.6573660599723721</v>
      </c>
      <c r="Y86" s="10">
        <f t="shared" si="181"/>
        <v>3.6573660599723721</v>
      </c>
      <c r="Z86" s="10">
        <f t="shared" si="181"/>
        <v>3.6573660599723721</v>
      </c>
      <c r="AA86" s="10">
        <f t="shared" si="181"/>
        <v>3.6573660599723721</v>
      </c>
      <c r="AB86" s="10">
        <f t="shared" si="181"/>
        <v>3.6573660599723721</v>
      </c>
      <c r="AC86" s="10">
        <f t="shared" si="181"/>
        <v>3.6573660599723721</v>
      </c>
      <c r="AD86" s="10">
        <f t="shared" si="181"/>
        <v>3.6573660599723721</v>
      </c>
      <c r="AE86" s="10">
        <f t="shared" si="181"/>
        <v>3.6573660599723721</v>
      </c>
      <c r="AF86" s="10">
        <f t="shared" si="181"/>
        <v>3.6573660599723721</v>
      </c>
      <c r="AG86" s="10">
        <f t="shared" si="181"/>
        <v>3.6573660599723721</v>
      </c>
      <c r="AH86" s="10">
        <f t="shared" si="181"/>
        <v>3.6573660599723721</v>
      </c>
      <c r="AI86" s="10">
        <f t="shared" ref="AI86:BN86" si="182">2*AI$10*(AI$5+AI$11*AI$6)/(SQRT(2)*AI$8*SIN(AI38))</f>
        <v>3.6573660599723721</v>
      </c>
      <c r="AJ86" s="10">
        <f t="shared" si="182"/>
        <v>3.6573660599723721</v>
      </c>
      <c r="AK86" s="10">
        <f t="shared" si="182"/>
        <v>3.6573660599723721</v>
      </c>
      <c r="AL86" s="10">
        <f t="shared" si="182"/>
        <v>3.6573660599723721</v>
      </c>
      <c r="AM86" s="10">
        <f t="shared" si="182"/>
        <v>3.6573660599723721</v>
      </c>
      <c r="AN86" s="10">
        <f t="shared" si="182"/>
        <v>3.6573660599723721</v>
      </c>
      <c r="AO86" s="10">
        <f t="shared" si="182"/>
        <v>3.6573660599723721</v>
      </c>
      <c r="AP86" s="10">
        <f t="shared" si="182"/>
        <v>3.6573660599723721</v>
      </c>
      <c r="AQ86" s="10">
        <f t="shared" si="182"/>
        <v>3.6573660599723721</v>
      </c>
      <c r="AR86" s="10">
        <f t="shared" si="182"/>
        <v>3.6573660599723721</v>
      </c>
      <c r="AS86" s="10">
        <f t="shared" si="182"/>
        <v>3.6573660599723721</v>
      </c>
      <c r="AT86" s="10">
        <f t="shared" si="182"/>
        <v>3.6573660599723721</v>
      </c>
      <c r="AU86" s="10">
        <f t="shared" si="182"/>
        <v>3.6573660599723721</v>
      </c>
      <c r="AV86" s="10">
        <f t="shared" si="182"/>
        <v>3.6573660599723721</v>
      </c>
      <c r="AW86" s="10">
        <f t="shared" si="182"/>
        <v>3.6573660599723721</v>
      </c>
      <c r="AX86" s="10">
        <f t="shared" si="182"/>
        <v>3.6573660599723721</v>
      </c>
      <c r="AY86" s="10">
        <f t="shared" si="182"/>
        <v>3.6573660599723721</v>
      </c>
      <c r="AZ86" s="10">
        <f t="shared" si="182"/>
        <v>3.6573660599723721</v>
      </c>
      <c r="BA86" s="10">
        <f t="shared" si="182"/>
        <v>3.6573660599723721</v>
      </c>
      <c r="BB86" s="10">
        <f t="shared" si="182"/>
        <v>3.6573660599723721</v>
      </c>
      <c r="BC86" s="10">
        <f t="shared" si="182"/>
        <v>3.6573660599723721</v>
      </c>
      <c r="BD86" s="10">
        <f t="shared" si="182"/>
        <v>3.6573660599723721</v>
      </c>
      <c r="BE86" s="10">
        <f t="shared" si="182"/>
        <v>3.6573660599723721</v>
      </c>
      <c r="BF86" s="10">
        <f t="shared" si="182"/>
        <v>3.6573660599723721</v>
      </c>
      <c r="BG86" s="10">
        <f t="shared" si="182"/>
        <v>3.6573660599723721</v>
      </c>
      <c r="BH86" s="10">
        <f t="shared" si="182"/>
        <v>3.6573660599723721</v>
      </c>
      <c r="BI86" s="10">
        <f t="shared" si="182"/>
        <v>3.6573660599723721</v>
      </c>
      <c r="BJ86" s="10">
        <f t="shared" si="182"/>
        <v>3.6573660599723721</v>
      </c>
      <c r="BK86" s="10">
        <f t="shared" si="182"/>
        <v>3.6573660599723721</v>
      </c>
      <c r="BL86" s="10">
        <f t="shared" si="182"/>
        <v>3.6573660599723721</v>
      </c>
      <c r="BM86" s="10">
        <f t="shared" si="182"/>
        <v>3.6573660599723721</v>
      </c>
      <c r="BN86" s="10">
        <f t="shared" si="182"/>
        <v>3.6573660599723721</v>
      </c>
      <c r="BO86" s="10">
        <f t="shared" ref="BO86:CG86" si="183">2*BO$10*(BO$5+BO$11*BO$6)/(SQRT(2)*BO$8*SIN(BO38))</f>
        <v>3.6573660599723721</v>
      </c>
      <c r="BP86" s="10">
        <f t="shared" si="183"/>
        <v>3.6573660599723721</v>
      </c>
      <c r="BQ86" s="10">
        <f t="shared" si="183"/>
        <v>3.6573660599723721</v>
      </c>
      <c r="BR86" s="10">
        <f t="shared" si="183"/>
        <v>3.6573660599723721</v>
      </c>
      <c r="BS86" s="10">
        <f t="shared" si="183"/>
        <v>3.6573660599723721</v>
      </c>
      <c r="BT86" s="10">
        <f t="shared" si="183"/>
        <v>3.6573660599723721</v>
      </c>
      <c r="BU86" s="10">
        <f t="shared" si="183"/>
        <v>3.6573660599723721</v>
      </c>
      <c r="BV86" s="10">
        <f t="shared" si="183"/>
        <v>3.6573660599723721</v>
      </c>
      <c r="BW86" s="10">
        <f t="shared" si="183"/>
        <v>3.6573660599723721</v>
      </c>
      <c r="BX86" s="10">
        <f t="shared" si="183"/>
        <v>3.6573660599723721</v>
      </c>
      <c r="BY86" s="10">
        <f t="shared" si="183"/>
        <v>3.6573660599723721</v>
      </c>
      <c r="BZ86" s="10">
        <f t="shared" si="183"/>
        <v>3.6573660599723721</v>
      </c>
      <c r="CA86" s="10">
        <f t="shared" si="183"/>
        <v>3.6573660599723721</v>
      </c>
      <c r="CB86" s="10">
        <f t="shared" si="183"/>
        <v>3.6573660599723721</v>
      </c>
      <c r="CC86" s="10">
        <f t="shared" si="183"/>
        <v>3.6573660599723721</v>
      </c>
      <c r="CD86" s="10">
        <f t="shared" si="183"/>
        <v>3.6573660599723721</v>
      </c>
      <c r="CE86" s="10">
        <f t="shared" si="183"/>
        <v>3.6573660599723721</v>
      </c>
      <c r="CF86" s="10">
        <f t="shared" si="183"/>
        <v>3.6573660599723721</v>
      </c>
      <c r="CG86" s="10">
        <f t="shared" si="183"/>
        <v>3.6573660599723721</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1.0556783492391313</v>
      </c>
      <c r="BV88" s="10">
        <f t="shared" si="186"/>
        <v>0</v>
      </c>
      <c r="BW88" s="10">
        <f t="shared" si="186"/>
        <v>0</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1.0556783492391313</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1.0210808078605624</v>
      </c>
      <c r="BV89" s="10">
        <f t="shared" si="189"/>
        <v>0</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1.0210808078605624</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0.9276051593834459</v>
      </c>
      <c r="BQ90" s="10">
        <f t="shared" si="192"/>
        <v>0</v>
      </c>
      <c r="BR90" s="10">
        <f t="shared" si="192"/>
        <v>0</v>
      </c>
      <c r="BS90" s="10">
        <f t="shared" si="192"/>
        <v>0</v>
      </c>
      <c r="BT90" s="10">
        <f t="shared" si="192"/>
        <v>0</v>
      </c>
      <c r="BU90" s="10">
        <f t="shared" si="192"/>
        <v>0</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0.9276051593834459</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v>
      </c>
      <c r="BB91" s="10">
        <f t="shared" si="194"/>
        <v>0</v>
      </c>
      <c r="BC91" s="10">
        <f t="shared" si="194"/>
        <v>0</v>
      </c>
      <c r="BD91" s="10">
        <f t="shared" si="194"/>
        <v>0</v>
      </c>
      <c r="BE91" s="10">
        <f t="shared" si="194"/>
        <v>0</v>
      </c>
      <c r="BF91" s="10">
        <f t="shared" si="194"/>
        <v>0</v>
      </c>
      <c r="BG91" s="10">
        <f t="shared" si="194"/>
        <v>0</v>
      </c>
      <c r="BH91" s="10">
        <f t="shared" si="194"/>
        <v>0.81971379727682758</v>
      </c>
      <c r="BI91" s="10">
        <f t="shared" si="194"/>
        <v>0</v>
      </c>
      <c r="BJ91" s="10">
        <f t="shared" si="194"/>
        <v>0</v>
      </c>
      <c r="BK91" s="10">
        <f t="shared" si="194"/>
        <v>0</v>
      </c>
      <c r="BL91" s="10">
        <f t="shared" si="194"/>
        <v>0</v>
      </c>
      <c r="BM91" s="10">
        <f t="shared" si="194"/>
        <v>0</v>
      </c>
      <c r="BN91" s="10">
        <f t="shared" si="194"/>
        <v>0</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0.81971379727682758</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v>
      </c>
      <c r="AX92" s="10">
        <f t="shared" si="197"/>
        <v>0</v>
      </c>
      <c r="AY92" s="10">
        <f t="shared" si="197"/>
        <v>0</v>
      </c>
      <c r="AZ92" s="10">
        <f t="shared" si="197"/>
        <v>0</v>
      </c>
      <c r="BA92" s="10">
        <f t="shared" si="197"/>
        <v>0</v>
      </c>
      <c r="BB92" s="10">
        <f t="shared" si="197"/>
        <v>0.72875747909935029</v>
      </c>
      <c r="BC92" s="10">
        <f t="shared" si="197"/>
        <v>0</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0.72875747909935029</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v>
      </c>
      <c r="AT93" s="10">
        <f t="shared" si="200"/>
        <v>0</v>
      </c>
      <c r="AU93" s="10">
        <f t="shared" si="200"/>
        <v>0</v>
      </c>
      <c r="AV93" s="10">
        <f t="shared" si="200"/>
        <v>0</v>
      </c>
      <c r="AW93" s="10">
        <f t="shared" si="200"/>
        <v>0.65603015616883709</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0.65603015616883709</v>
      </c>
    </row>
    <row r="95" spans="2:86" ht="16.5" customHeight="1">
      <c r="B95" s="162" t="s">
        <v>848</v>
      </c>
      <c r="C95" s="162">
        <f t="shared" ref="C95:AH95" si="202">(C$40/(C$10^2))*((PI()^2)/4)*(C12*100/C$39)*(((SIN(C$33))^2)/(C$5+C$11*C$6)^2)</f>
        <v>0.76549333845027701</v>
      </c>
      <c r="D95" s="162">
        <f t="shared" si="202"/>
        <v>0.76549333845027701</v>
      </c>
      <c r="E95" s="162">
        <f t="shared" si="202"/>
        <v>0.76549333845027701</v>
      </c>
      <c r="F95" s="162">
        <f t="shared" si="202"/>
        <v>0.76549333845027701</v>
      </c>
      <c r="G95" s="162">
        <f t="shared" si="202"/>
        <v>0.76549333845027701</v>
      </c>
      <c r="H95" s="162">
        <f t="shared" si="202"/>
        <v>0.76549333845027701</v>
      </c>
      <c r="I95" s="162">
        <f t="shared" si="202"/>
        <v>0.76549333845027701</v>
      </c>
      <c r="J95" s="162">
        <f t="shared" si="202"/>
        <v>0.76549333845027701</v>
      </c>
      <c r="K95" s="162">
        <f t="shared" si="202"/>
        <v>0.76549333845027701</v>
      </c>
      <c r="L95" s="162">
        <f t="shared" si="202"/>
        <v>0.76549333845027701</v>
      </c>
      <c r="M95" s="162">
        <f t="shared" si="202"/>
        <v>0.76549333845027701</v>
      </c>
      <c r="N95" s="162">
        <f t="shared" si="202"/>
        <v>0.76549333845027701</v>
      </c>
      <c r="O95" s="162">
        <f t="shared" si="202"/>
        <v>0.76549333845027701</v>
      </c>
      <c r="P95" s="162">
        <f t="shared" si="202"/>
        <v>0.76549333845027701</v>
      </c>
      <c r="Q95" s="162">
        <f t="shared" si="202"/>
        <v>0.76549333845027701</v>
      </c>
      <c r="R95" s="162">
        <f t="shared" si="202"/>
        <v>0.76549333845027701</v>
      </c>
      <c r="S95" s="162">
        <f t="shared" si="202"/>
        <v>0.76549333845027701</v>
      </c>
      <c r="T95" s="162">
        <f t="shared" si="202"/>
        <v>0.76549333845027701</v>
      </c>
      <c r="U95" s="162">
        <f t="shared" si="202"/>
        <v>0.76549333845027701</v>
      </c>
      <c r="V95" s="162">
        <f t="shared" si="202"/>
        <v>0.76549333845027701</v>
      </c>
      <c r="W95" s="162">
        <f t="shared" si="202"/>
        <v>0.76549333845027701</v>
      </c>
      <c r="X95" s="162">
        <f t="shared" si="202"/>
        <v>0.76549333845027701</v>
      </c>
      <c r="Y95" s="162">
        <f t="shared" si="202"/>
        <v>0.76549333845027701</v>
      </c>
      <c r="Z95" s="162">
        <f t="shared" si="202"/>
        <v>0.76549333845027701</v>
      </c>
      <c r="AA95" s="162">
        <f t="shared" si="202"/>
        <v>0.76549333845027701</v>
      </c>
      <c r="AB95" s="162">
        <f t="shared" si="202"/>
        <v>0.76549333845027701</v>
      </c>
      <c r="AC95" s="162">
        <f t="shared" si="202"/>
        <v>0.76549333845027701</v>
      </c>
      <c r="AD95" s="162">
        <f t="shared" si="202"/>
        <v>0.76549333845027701</v>
      </c>
      <c r="AE95" s="162">
        <f t="shared" si="202"/>
        <v>0.76549333845027701</v>
      </c>
      <c r="AF95" s="162">
        <f t="shared" si="202"/>
        <v>0.76549333845027701</v>
      </c>
      <c r="AG95" s="162">
        <f t="shared" si="202"/>
        <v>0.76549333845027701</v>
      </c>
      <c r="AH95" s="162">
        <f t="shared" si="202"/>
        <v>0.76549333845027701</v>
      </c>
      <c r="AI95" s="162">
        <f t="shared" ref="AI95:BN95" si="203">(AI$40/(AI$10^2))*((PI()^2)/4)*(AI12*100/AI$39)*(((SIN(AI$33))^2)/(AI$5+AI$11*AI$6)^2)</f>
        <v>0.76549333845027701</v>
      </c>
      <c r="AJ95" s="162">
        <f t="shared" si="203"/>
        <v>0.76549333845027701</v>
      </c>
      <c r="AK95" s="162">
        <f t="shared" si="203"/>
        <v>0.76549333845027701</v>
      </c>
      <c r="AL95" s="162">
        <f t="shared" si="203"/>
        <v>0.76549333845027701</v>
      </c>
      <c r="AM95" s="162">
        <f t="shared" si="203"/>
        <v>0.76549333845027701</v>
      </c>
      <c r="AN95" s="162">
        <f t="shared" si="203"/>
        <v>0.76549333845027701</v>
      </c>
      <c r="AO95" s="162">
        <f t="shared" si="203"/>
        <v>0.76549333845027701</v>
      </c>
      <c r="AP95" s="162">
        <f t="shared" si="203"/>
        <v>0.76549333845027701</v>
      </c>
      <c r="AQ95" s="162">
        <f t="shared" si="203"/>
        <v>0.76549333845027701</v>
      </c>
      <c r="AR95" s="162">
        <f t="shared" si="203"/>
        <v>0.76549333845027701</v>
      </c>
      <c r="AS95" s="162">
        <f t="shared" si="203"/>
        <v>0.76549333845027701</v>
      </c>
      <c r="AT95" s="162">
        <f t="shared" si="203"/>
        <v>0.76549333845027701</v>
      </c>
      <c r="AU95" s="162">
        <f t="shared" si="203"/>
        <v>0.76549333845027701</v>
      </c>
      <c r="AV95" s="162">
        <f t="shared" si="203"/>
        <v>0.76549333845027701</v>
      </c>
      <c r="AW95" s="162">
        <f t="shared" si="203"/>
        <v>0.76549333845027701</v>
      </c>
      <c r="AX95" s="162">
        <f t="shared" si="203"/>
        <v>0.76549333845027701</v>
      </c>
      <c r="AY95" s="162">
        <f t="shared" si="203"/>
        <v>0.76549333845027701</v>
      </c>
      <c r="AZ95" s="162">
        <f t="shared" si="203"/>
        <v>0.76549333845027701</v>
      </c>
      <c r="BA95" s="162">
        <f t="shared" si="203"/>
        <v>0.76549333845027701</v>
      </c>
      <c r="BB95" s="162">
        <f t="shared" si="203"/>
        <v>0.76549333845027701</v>
      </c>
      <c r="BC95" s="162">
        <f t="shared" si="203"/>
        <v>0.76549333845027701</v>
      </c>
      <c r="BD95" s="162">
        <f t="shared" si="203"/>
        <v>0.76549333845027701</v>
      </c>
      <c r="BE95" s="162">
        <f t="shared" si="203"/>
        <v>0.76549333845027701</v>
      </c>
      <c r="BF95" s="162">
        <f t="shared" si="203"/>
        <v>0.76549333845027701</v>
      </c>
      <c r="BG95" s="162">
        <f t="shared" si="203"/>
        <v>0.76549333845027701</v>
      </c>
      <c r="BH95" s="162">
        <f t="shared" si="203"/>
        <v>0.76549333845027701</v>
      </c>
      <c r="BI95" s="162">
        <f t="shared" si="203"/>
        <v>0.76549333845027701</v>
      </c>
      <c r="BJ95" s="162">
        <f t="shared" si="203"/>
        <v>0.76549333845027701</v>
      </c>
      <c r="BK95" s="162">
        <f t="shared" si="203"/>
        <v>0.76549333845027701</v>
      </c>
      <c r="BL95" s="162">
        <f t="shared" si="203"/>
        <v>0.76549333845027701</v>
      </c>
      <c r="BM95" s="162">
        <f t="shared" si="203"/>
        <v>0.76549333845027701</v>
      </c>
      <c r="BN95" s="162">
        <f t="shared" si="203"/>
        <v>0.76549333845027701</v>
      </c>
      <c r="BO95" s="162">
        <f t="shared" ref="BO95:CG95" si="204">(BO$40/(BO$10^2))*((PI()^2)/4)*(BO12*100/BO$39)*(((SIN(BO$33))^2)/(BO$5+BO$11*BO$6)^2)</f>
        <v>0.76549333845027701</v>
      </c>
      <c r="BP95" s="162">
        <f t="shared" si="204"/>
        <v>0.76549333845027701</v>
      </c>
      <c r="BQ95" s="162">
        <f t="shared" si="204"/>
        <v>0.76549333845027701</v>
      </c>
      <c r="BR95" s="162">
        <f t="shared" si="204"/>
        <v>0.76549333845027701</v>
      </c>
      <c r="BS95" s="162">
        <f t="shared" si="204"/>
        <v>0.76549333845027701</v>
      </c>
      <c r="BT95" s="162">
        <f t="shared" si="204"/>
        <v>0.76549333845027701</v>
      </c>
      <c r="BU95" s="162">
        <f t="shared" si="204"/>
        <v>0.76549333845027701</v>
      </c>
      <c r="BV95" s="162">
        <f t="shared" si="204"/>
        <v>0.76549333845027701</v>
      </c>
      <c r="BW95" s="162">
        <f t="shared" si="204"/>
        <v>0.76549333845027701</v>
      </c>
      <c r="BX95" s="162">
        <f t="shared" si="204"/>
        <v>0.76549333845027701</v>
      </c>
      <c r="BY95" s="162">
        <f t="shared" si="204"/>
        <v>0.76549333845027701</v>
      </c>
      <c r="BZ95" s="162">
        <f t="shared" si="204"/>
        <v>0.76549333845027701</v>
      </c>
      <c r="CA95" s="162">
        <f t="shared" si="204"/>
        <v>0.76549333845027701</v>
      </c>
      <c r="CB95" s="162">
        <f t="shared" si="204"/>
        <v>0.76549333845027701</v>
      </c>
      <c r="CC95" s="162">
        <f t="shared" si="204"/>
        <v>0.76549333845027701</v>
      </c>
      <c r="CD95" s="162">
        <f t="shared" si="204"/>
        <v>0.76549333845027701</v>
      </c>
      <c r="CE95" s="162">
        <f t="shared" si="204"/>
        <v>0.76549333845027701</v>
      </c>
      <c r="CF95" s="162">
        <f t="shared" si="204"/>
        <v>0.76549333845027701</v>
      </c>
      <c r="CG95" s="162">
        <f t="shared" si="204"/>
        <v>0.76549333845027701</v>
      </c>
    </row>
    <row r="96" spans="2:86" ht="16.5" customHeight="1">
      <c r="B96" s="162" t="s">
        <v>849</v>
      </c>
      <c r="C96" s="162">
        <f t="shared" ref="C96:AH96" si="205">(C$40/(C$10^2))*((PI()^2)/4)*(C13*100/C$39)*(((SIN(C$33))^2)/(C$5+C$11*C$6)^2)</f>
        <v>0.57412000383770767</v>
      </c>
      <c r="D96" s="162">
        <f t="shared" si="205"/>
        <v>0.57412000383770767</v>
      </c>
      <c r="E96" s="162">
        <f t="shared" si="205"/>
        <v>0.57412000383770767</v>
      </c>
      <c r="F96" s="162">
        <f t="shared" si="205"/>
        <v>0.57412000383770767</v>
      </c>
      <c r="G96" s="162">
        <f t="shared" si="205"/>
        <v>0.57412000383770767</v>
      </c>
      <c r="H96" s="162">
        <f t="shared" si="205"/>
        <v>0.57412000383770767</v>
      </c>
      <c r="I96" s="162">
        <f t="shared" si="205"/>
        <v>0.57412000383770767</v>
      </c>
      <c r="J96" s="162">
        <f t="shared" si="205"/>
        <v>0.57412000383770767</v>
      </c>
      <c r="K96" s="162">
        <f t="shared" si="205"/>
        <v>0.57412000383770767</v>
      </c>
      <c r="L96" s="162">
        <f t="shared" si="205"/>
        <v>0.57412000383770767</v>
      </c>
      <c r="M96" s="162">
        <f t="shared" si="205"/>
        <v>0.57412000383770767</v>
      </c>
      <c r="N96" s="162">
        <f t="shared" si="205"/>
        <v>0.57412000383770767</v>
      </c>
      <c r="O96" s="162">
        <f t="shared" si="205"/>
        <v>0.57412000383770767</v>
      </c>
      <c r="P96" s="162">
        <f t="shared" si="205"/>
        <v>0.57412000383770767</v>
      </c>
      <c r="Q96" s="162">
        <f t="shared" si="205"/>
        <v>0.57412000383770767</v>
      </c>
      <c r="R96" s="162">
        <f t="shared" si="205"/>
        <v>0.57412000383770767</v>
      </c>
      <c r="S96" s="162">
        <f t="shared" si="205"/>
        <v>0.57412000383770767</v>
      </c>
      <c r="T96" s="162">
        <f t="shared" si="205"/>
        <v>0.57412000383770767</v>
      </c>
      <c r="U96" s="162">
        <f t="shared" si="205"/>
        <v>0.57412000383770767</v>
      </c>
      <c r="V96" s="162">
        <f t="shared" si="205"/>
        <v>0.57412000383770767</v>
      </c>
      <c r="W96" s="162">
        <f t="shared" si="205"/>
        <v>0.57412000383770767</v>
      </c>
      <c r="X96" s="162">
        <f t="shared" si="205"/>
        <v>0.57412000383770767</v>
      </c>
      <c r="Y96" s="162">
        <f t="shared" si="205"/>
        <v>0.57412000383770767</v>
      </c>
      <c r="Z96" s="162">
        <f t="shared" si="205"/>
        <v>0.57412000383770767</v>
      </c>
      <c r="AA96" s="162">
        <f t="shared" si="205"/>
        <v>0.57412000383770767</v>
      </c>
      <c r="AB96" s="162">
        <f t="shared" si="205"/>
        <v>0.57412000383770767</v>
      </c>
      <c r="AC96" s="162">
        <f t="shared" si="205"/>
        <v>0.57412000383770767</v>
      </c>
      <c r="AD96" s="162">
        <f t="shared" si="205"/>
        <v>0.57412000383770767</v>
      </c>
      <c r="AE96" s="162">
        <f t="shared" si="205"/>
        <v>0.57412000383770767</v>
      </c>
      <c r="AF96" s="162">
        <f t="shared" si="205"/>
        <v>0.57412000383770767</v>
      </c>
      <c r="AG96" s="162">
        <f t="shared" si="205"/>
        <v>0.57412000383770767</v>
      </c>
      <c r="AH96" s="162">
        <f t="shared" si="205"/>
        <v>0.57412000383770767</v>
      </c>
      <c r="AI96" s="162">
        <f t="shared" ref="AI96:BN96" si="206">(AI$40/(AI$10^2))*((PI()^2)/4)*(AI13*100/AI$39)*(((SIN(AI$33))^2)/(AI$5+AI$11*AI$6)^2)</f>
        <v>0.57412000383770767</v>
      </c>
      <c r="AJ96" s="162">
        <f t="shared" si="206"/>
        <v>0.57412000383770767</v>
      </c>
      <c r="AK96" s="162">
        <f t="shared" si="206"/>
        <v>0.57412000383770767</v>
      </c>
      <c r="AL96" s="162">
        <f t="shared" si="206"/>
        <v>0.57412000383770767</v>
      </c>
      <c r="AM96" s="162">
        <f t="shared" si="206"/>
        <v>0.57412000383770767</v>
      </c>
      <c r="AN96" s="162">
        <f t="shared" si="206"/>
        <v>0.57412000383770767</v>
      </c>
      <c r="AO96" s="162">
        <f t="shared" si="206"/>
        <v>0.57412000383770767</v>
      </c>
      <c r="AP96" s="162">
        <f t="shared" si="206"/>
        <v>0.57412000383770767</v>
      </c>
      <c r="AQ96" s="162">
        <f t="shared" si="206"/>
        <v>0.57412000383770767</v>
      </c>
      <c r="AR96" s="162">
        <f t="shared" si="206"/>
        <v>0.57412000383770767</v>
      </c>
      <c r="AS96" s="162">
        <f t="shared" si="206"/>
        <v>0.57412000383770767</v>
      </c>
      <c r="AT96" s="162">
        <f t="shared" si="206"/>
        <v>0.57412000383770767</v>
      </c>
      <c r="AU96" s="162">
        <f t="shared" si="206"/>
        <v>0.57412000383770767</v>
      </c>
      <c r="AV96" s="162">
        <f t="shared" si="206"/>
        <v>0.57412000383770767</v>
      </c>
      <c r="AW96" s="162">
        <f t="shared" si="206"/>
        <v>0.57412000383770767</v>
      </c>
      <c r="AX96" s="162">
        <f t="shared" si="206"/>
        <v>0.57412000383770767</v>
      </c>
      <c r="AY96" s="162">
        <f t="shared" si="206"/>
        <v>0.57412000383770767</v>
      </c>
      <c r="AZ96" s="162">
        <f t="shared" si="206"/>
        <v>0.57412000383770767</v>
      </c>
      <c r="BA96" s="162">
        <f t="shared" si="206"/>
        <v>0.57412000383770767</v>
      </c>
      <c r="BB96" s="162">
        <f t="shared" si="206"/>
        <v>0.57412000383770767</v>
      </c>
      <c r="BC96" s="162">
        <f t="shared" si="206"/>
        <v>0.57412000383770767</v>
      </c>
      <c r="BD96" s="162">
        <f t="shared" si="206"/>
        <v>0.57412000383770767</v>
      </c>
      <c r="BE96" s="162">
        <f t="shared" si="206"/>
        <v>0.57412000383770767</v>
      </c>
      <c r="BF96" s="162">
        <f t="shared" si="206"/>
        <v>0.57412000383770767</v>
      </c>
      <c r="BG96" s="162">
        <f t="shared" si="206"/>
        <v>0.57412000383770767</v>
      </c>
      <c r="BH96" s="162">
        <f t="shared" si="206"/>
        <v>0.57412000383770767</v>
      </c>
      <c r="BI96" s="162">
        <f t="shared" si="206"/>
        <v>0.57412000383770767</v>
      </c>
      <c r="BJ96" s="162">
        <f t="shared" si="206"/>
        <v>0.57412000383770767</v>
      </c>
      <c r="BK96" s="162">
        <f t="shared" si="206"/>
        <v>0.57412000383770767</v>
      </c>
      <c r="BL96" s="162">
        <f t="shared" si="206"/>
        <v>0.57412000383770767</v>
      </c>
      <c r="BM96" s="162">
        <f t="shared" si="206"/>
        <v>0.57412000383770767</v>
      </c>
      <c r="BN96" s="162">
        <f t="shared" si="206"/>
        <v>0.57412000383770767</v>
      </c>
      <c r="BO96" s="162">
        <f t="shared" ref="BO96:CG96" si="207">(BO$40/(BO$10^2))*((PI()^2)/4)*(BO13*100/BO$39)*(((SIN(BO$33))^2)/(BO$5+BO$11*BO$6)^2)</f>
        <v>0.57412000383770767</v>
      </c>
      <c r="BP96" s="162">
        <f t="shared" si="207"/>
        <v>0.57412000383770767</v>
      </c>
      <c r="BQ96" s="162">
        <f t="shared" si="207"/>
        <v>0.57412000383770767</v>
      </c>
      <c r="BR96" s="162">
        <f t="shared" si="207"/>
        <v>0.57412000383770767</v>
      </c>
      <c r="BS96" s="162">
        <f t="shared" si="207"/>
        <v>0.57412000383770767</v>
      </c>
      <c r="BT96" s="162">
        <f t="shared" si="207"/>
        <v>0.57412000383770767</v>
      </c>
      <c r="BU96" s="162">
        <f t="shared" si="207"/>
        <v>0.57412000383770767</v>
      </c>
      <c r="BV96" s="162">
        <f t="shared" si="207"/>
        <v>0.57412000383770767</v>
      </c>
      <c r="BW96" s="162">
        <f t="shared" si="207"/>
        <v>0.57412000383770767</v>
      </c>
      <c r="BX96" s="162">
        <f t="shared" si="207"/>
        <v>0.57412000383770767</v>
      </c>
      <c r="BY96" s="162">
        <f t="shared" si="207"/>
        <v>0.57412000383770767</v>
      </c>
      <c r="BZ96" s="162">
        <f t="shared" si="207"/>
        <v>0.57412000383770767</v>
      </c>
      <c r="CA96" s="162">
        <f t="shared" si="207"/>
        <v>0.57412000383770767</v>
      </c>
      <c r="CB96" s="162">
        <f t="shared" si="207"/>
        <v>0.57412000383770767</v>
      </c>
      <c r="CC96" s="162">
        <f t="shared" si="207"/>
        <v>0.57412000383770767</v>
      </c>
      <c r="CD96" s="162">
        <f t="shared" si="207"/>
        <v>0.57412000383770767</v>
      </c>
      <c r="CE96" s="162">
        <f t="shared" si="207"/>
        <v>0.57412000383770767</v>
      </c>
      <c r="CF96" s="162">
        <f t="shared" si="207"/>
        <v>0.57412000383770767</v>
      </c>
      <c r="CG96" s="162">
        <f t="shared" si="207"/>
        <v>0.57412000383770767</v>
      </c>
    </row>
    <row r="97" spans="1:86" ht="16.5" customHeight="1">
      <c r="B97" s="162" t="s">
        <v>850</v>
      </c>
      <c r="C97" s="162">
        <f t="shared" ref="C97:AH97" si="208">(C$40/(C$10^2))*((PI()^2)/4)*(C14*100/C$39)*(((SIN(C$33))^2)/(C$5+C$11*C$6)^2)</f>
        <v>0.3827466692251385</v>
      </c>
      <c r="D97" s="162">
        <f t="shared" si="208"/>
        <v>0.3827466692251385</v>
      </c>
      <c r="E97" s="162">
        <f t="shared" si="208"/>
        <v>0.3827466692251385</v>
      </c>
      <c r="F97" s="162">
        <f t="shared" si="208"/>
        <v>0.3827466692251385</v>
      </c>
      <c r="G97" s="162">
        <f t="shared" si="208"/>
        <v>0.3827466692251385</v>
      </c>
      <c r="H97" s="162">
        <f t="shared" si="208"/>
        <v>0.3827466692251385</v>
      </c>
      <c r="I97" s="162">
        <f t="shared" si="208"/>
        <v>0.3827466692251385</v>
      </c>
      <c r="J97" s="162">
        <f t="shared" si="208"/>
        <v>0.3827466692251385</v>
      </c>
      <c r="K97" s="162">
        <f t="shared" si="208"/>
        <v>0.3827466692251385</v>
      </c>
      <c r="L97" s="162">
        <f t="shared" si="208"/>
        <v>0.3827466692251385</v>
      </c>
      <c r="M97" s="162">
        <f t="shared" si="208"/>
        <v>0.3827466692251385</v>
      </c>
      <c r="N97" s="162">
        <f t="shared" si="208"/>
        <v>0.3827466692251385</v>
      </c>
      <c r="O97" s="162">
        <f t="shared" si="208"/>
        <v>0.3827466692251385</v>
      </c>
      <c r="P97" s="162">
        <f t="shared" si="208"/>
        <v>0.3827466692251385</v>
      </c>
      <c r="Q97" s="162">
        <f t="shared" si="208"/>
        <v>0.3827466692251385</v>
      </c>
      <c r="R97" s="162">
        <f t="shared" si="208"/>
        <v>0.3827466692251385</v>
      </c>
      <c r="S97" s="162">
        <f t="shared" si="208"/>
        <v>0.3827466692251385</v>
      </c>
      <c r="T97" s="162">
        <f t="shared" si="208"/>
        <v>0.3827466692251385</v>
      </c>
      <c r="U97" s="162">
        <f t="shared" si="208"/>
        <v>0.3827466692251385</v>
      </c>
      <c r="V97" s="162">
        <f t="shared" si="208"/>
        <v>0.3827466692251385</v>
      </c>
      <c r="W97" s="162">
        <f t="shared" si="208"/>
        <v>0.3827466692251385</v>
      </c>
      <c r="X97" s="162">
        <f t="shared" si="208"/>
        <v>0.3827466692251385</v>
      </c>
      <c r="Y97" s="162">
        <f t="shared" si="208"/>
        <v>0.3827466692251385</v>
      </c>
      <c r="Z97" s="162">
        <f t="shared" si="208"/>
        <v>0.3827466692251385</v>
      </c>
      <c r="AA97" s="162">
        <f t="shared" si="208"/>
        <v>0.3827466692251385</v>
      </c>
      <c r="AB97" s="162">
        <f t="shared" si="208"/>
        <v>0.3827466692251385</v>
      </c>
      <c r="AC97" s="162">
        <f t="shared" si="208"/>
        <v>0.3827466692251385</v>
      </c>
      <c r="AD97" s="162">
        <f t="shared" si="208"/>
        <v>0.3827466692251385</v>
      </c>
      <c r="AE97" s="162">
        <f t="shared" si="208"/>
        <v>0.3827466692251385</v>
      </c>
      <c r="AF97" s="162">
        <f t="shared" si="208"/>
        <v>0.3827466692251385</v>
      </c>
      <c r="AG97" s="162">
        <f t="shared" si="208"/>
        <v>0.3827466692251385</v>
      </c>
      <c r="AH97" s="162">
        <f t="shared" si="208"/>
        <v>0.3827466692251385</v>
      </c>
      <c r="AI97" s="162">
        <f t="shared" ref="AI97:BN97" si="209">(AI$40/(AI$10^2))*((PI()^2)/4)*(AI14*100/AI$39)*(((SIN(AI$33))^2)/(AI$5+AI$11*AI$6)^2)</f>
        <v>0.3827466692251385</v>
      </c>
      <c r="AJ97" s="162">
        <f t="shared" si="209"/>
        <v>0.3827466692251385</v>
      </c>
      <c r="AK97" s="162">
        <f t="shared" si="209"/>
        <v>0.3827466692251385</v>
      </c>
      <c r="AL97" s="162">
        <f t="shared" si="209"/>
        <v>0.3827466692251385</v>
      </c>
      <c r="AM97" s="162">
        <f t="shared" si="209"/>
        <v>0.3827466692251385</v>
      </c>
      <c r="AN97" s="162">
        <f t="shared" si="209"/>
        <v>0.3827466692251385</v>
      </c>
      <c r="AO97" s="162">
        <f t="shared" si="209"/>
        <v>0.3827466692251385</v>
      </c>
      <c r="AP97" s="162">
        <f t="shared" si="209"/>
        <v>0.3827466692251385</v>
      </c>
      <c r="AQ97" s="162">
        <f t="shared" si="209"/>
        <v>0.3827466692251385</v>
      </c>
      <c r="AR97" s="162">
        <f t="shared" si="209"/>
        <v>0.3827466692251385</v>
      </c>
      <c r="AS97" s="162">
        <f t="shared" si="209"/>
        <v>0.3827466692251385</v>
      </c>
      <c r="AT97" s="162">
        <f t="shared" si="209"/>
        <v>0.3827466692251385</v>
      </c>
      <c r="AU97" s="162">
        <f t="shared" si="209"/>
        <v>0.3827466692251385</v>
      </c>
      <c r="AV97" s="162">
        <f t="shared" si="209"/>
        <v>0.3827466692251385</v>
      </c>
      <c r="AW97" s="162">
        <f t="shared" si="209"/>
        <v>0.3827466692251385</v>
      </c>
      <c r="AX97" s="162">
        <f t="shared" si="209"/>
        <v>0.3827466692251385</v>
      </c>
      <c r="AY97" s="162">
        <f t="shared" si="209"/>
        <v>0.3827466692251385</v>
      </c>
      <c r="AZ97" s="162">
        <f t="shared" si="209"/>
        <v>0.3827466692251385</v>
      </c>
      <c r="BA97" s="162">
        <f t="shared" si="209"/>
        <v>0.3827466692251385</v>
      </c>
      <c r="BB97" s="162">
        <f t="shared" si="209"/>
        <v>0.3827466692251385</v>
      </c>
      <c r="BC97" s="162">
        <f t="shared" si="209"/>
        <v>0.3827466692251385</v>
      </c>
      <c r="BD97" s="162">
        <f t="shared" si="209"/>
        <v>0.3827466692251385</v>
      </c>
      <c r="BE97" s="162">
        <f t="shared" si="209"/>
        <v>0.3827466692251385</v>
      </c>
      <c r="BF97" s="162">
        <f t="shared" si="209"/>
        <v>0.3827466692251385</v>
      </c>
      <c r="BG97" s="162">
        <f t="shared" si="209"/>
        <v>0.3827466692251385</v>
      </c>
      <c r="BH97" s="162">
        <f t="shared" si="209"/>
        <v>0.3827466692251385</v>
      </c>
      <c r="BI97" s="162">
        <f t="shared" si="209"/>
        <v>0.3827466692251385</v>
      </c>
      <c r="BJ97" s="162">
        <f t="shared" si="209"/>
        <v>0.3827466692251385</v>
      </c>
      <c r="BK97" s="162">
        <f t="shared" si="209"/>
        <v>0.3827466692251385</v>
      </c>
      <c r="BL97" s="162">
        <f t="shared" si="209"/>
        <v>0.3827466692251385</v>
      </c>
      <c r="BM97" s="162">
        <f t="shared" si="209"/>
        <v>0.3827466692251385</v>
      </c>
      <c r="BN97" s="162">
        <f t="shared" si="209"/>
        <v>0.3827466692251385</v>
      </c>
      <c r="BO97" s="162">
        <f t="shared" ref="BO97:CG97" si="210">(BO$40/(BO$10^2))*((PI()^2)/4)*(BO14*100/BO$39)*(((SIN(BO$33))^2)/(BO$5+BO$11*BO$6)^2)</f>
        <v>0.3827466692251385</v>
      </c>
      <c r="BP97" s="162">
        <f t="shared" si="210"/>
        <v>0.3827466692251385</v>
      </c>
      <c r="BQ97" s="162">
        <f t="shared" si="210"/>
        <v>0.3827466692251385</v>
      </c>
      <c r="BR97" s="162">
        <f t="shared" si="210"/>
        <v>0.3827466692251385</v>
      </c>
      <c r="BS97" s="162">
        <f t="shared" si="210"/>
        <v>0.3827466692251385</v>
      </c>
      <c r="BT97" s="162">
        <f t="shared" si="210"/>
        <v>0.3827466692251385</v>
      </c>
      <c r="BU97" s="162">
        <f t="shared" si="210"/>
        <v>0.3827466692251385</v>
      </c>
      <c r="BV97" s="162">
        <f t="shared" si="210"/>
        <v>0.3827466692251385</v>
      </c>
      <c r="BW97" s="162">
        <f t="shared" si="210"/>
        <v>0.3827466692251385</v>
      </c>
      <c r="BX97" s="162">
        <f t="shared" si="210"/>
        <v>0.3827466692251385</v>
      </c>
      <c r="BY97" s="162">
        <f t="shared" si="210"/>
        <v>0.3827466692251385</v>
      </c>
      <c r="BZ97" s="162">
        <f t="shared" si="210"/>
        <v>0.3827466692251385</v>
      </c>
      <c r="CA97" s="162">
        <f t="shared" si="210"/>
        <v>0.3827466692251385</v>
      </c>
      <c r="CB97" s="162">
        <f t="shared" si="210"/>
        <v>0.3827466692251385</v>
      </c>
      <c r="CC97" s="162">
        <f t="shared" si="210"/>
        <v>0.3827466692251385</v>
      </c>
      <c r="CD97" s="162">
        <f t="shared" si="210"/>
        <v>0.3827466692251385</v>
      </c>
      <c r="CE97" s="162">
        <f t="shared" si="210"/>
        <v>0.3827466692251385</v>
      </c>
      <c r="CF97" s="162">
        <f t="shared" si="210"/>
        <v>0.3827466692251385</v>
      </c>
      <c r="CG97" s="162">
        <f t="shared" si="210"/>
        <v>0.3827466692251385</v>
      </c>
    </row>
    <row r="98" spans="1:86" ht="16.5" customHeight="1">
      <c r="B98" s="162" t="s">
        <v>851</v>
      </c>
      <c r="C98" s="162">
        <f t="shared" ref="C98:AH98" si="211">(C$40/(C$10^2))*((PI()^2)/4)*(C15*100/C$39)*(((SIN(C$33))^2)/(C$5+C$11*C$6)^2)</f>
        <v>0.19137333461256925</v>
      </c>
      <c r="D98" s="162">
        <f t="shared" si="211"/>
        <v>0.19137333461256925</v>
      </c>
      <c r="E98" s="162">
        <f t="shared" si="211"/>
        <v>0.19137333461256925</v>
      </c>
      <c r="F98" s="162">
        <f t="shared" si="211"/>
        <v>0.19137333461256925</v>
      </c>
      <c r="G98" s="162">
        <f t="shared" si="211"/>
        <v>0.19137333461256925</v>
      </c>
      <c r="H98" s="162">
        <f t="shared" si="211"/>
        <v>0.19137333461256925</v>
      </c>
      <c r="I98" s="162">
        <f t="shared" si="211"/>
        <v>0.19137333461256925</v>
      </c>
      <c r="J98" s="162">
        <f t="shared" si="211"/>
        <v>0.19137333461256925</v>
      </c>
      <c r="K98" s="162">
        <f t="shared" si="211"/>
        <v>0.19137333461256925</v>
      </c>
      <c r="L98" s="162">
        <f t="shared" si="211"/>
        <v>0.19137333461256925</v>
      </c>
      <c r="M98" s="162">
        <f t="shared" si="211"/>
        <v>0.19137333461256925</v>
      </c>
      <c r="N98" s="162">
        <f t="shared" si="211"/>
        <v>0.19137333461256925</v>
      </c>
      <c r="O98" s="162">
        <f t="shared" si="211"/>
        <v>0.19137333461256925</v>
      </c>
      <c r="P98" s="162">
        <f t="shared" si="211"/>
        <v>0.19137333461256925</v>
      </c>
      <c r="Q98" s="162">
        <f t="shared" si="211"/>
        <v>0.19137333461256925</v>
      </c>
      <c r="R98" s="162">
        <f t="shared" si="211"/>
        <v>0.19137333461256925</v>
      </c>
      <c r="S98" s="162">
        <f t="shared" si="211"/>
        <v>0.19137333461256925</v>
      </c>
      <c r="T98" s="162">
        <f t="shared" si="211"/>
        <v>0.19137333461256925</v>
      </c>
      <c r="U98" s="162">
        <f t="shared" si="211"/>
        <v>0.19137333461256925</v>
      </c>
      <c r="V98" s="162">
        <f t="shared" si="211"/>
        <v>0.19137333461256925</v>
      </c>
      <c r="W98" s="162">
        <f t="shared" si="211"/>
        <v>0.19137333461256925</v>
      </c>
      <c r="X98" s="162">
        <f t="shared" si="211"/>
        <v>0.19137333461256925</v>
      </c>
      <c r="Y98" s="162">
        <f t="shared" si="211"/>
        <v>0.19137333461256925</v>
      </c>
      <c r="Z98" s="162">
        <f t="shared" si="211"/>
        <v>0.19137333461256925</v>
      </c>
      <c r="AA98" s="162">
        <f t="shared" si="211"/>
        <v>0.19137333461256925</v>
      </c>
      <c r="AB98" s="162">
        <f t="shared" si="211"/>
        <v>0.19137333461256925</v>
      </c>
      <c r="AC98" s="162">
        <f t="shared" si="211"/>
        <v>0.19137333461256925</v>
      </c>
      <c r="AD98" s="162">
        <f t="shared" si="211"/>
        <v>0.19137333461256925</v>
      </c>
      <c r="AE98" s="162">
        <f t="shared" si="211"/>
        <v>0.19137333461256925</v>
      </c>
      <c r="AF98" s="162">
        <f t="shared" si="211"/>
        <v>0.19137333461256925</v>
      </c>
      <c r="AG98" s="162">
        <f t="shared" si="211"/>
        <v>0.19137333461256925</v>
      </c>
      <c r="AH98" s="162">
        <f t="shared" si="211"/>
        <v>0.19137333461256925</v>
      </c>
      <c r="AI98" s="162">
        <f t="shared" ref="AI98:BN98" si="212">(AI$40/(AI$10^2))*((PI()^2)/4)*(AI15*100/AI$39)*(((SIN(AI$33))^2)/(AI$5+AI$11*AI$6)^2)</f>
        <v>0.19137333461256925</v>
      </c>
      <c r="AJ98" s="162">
        <f t="shared" si="212"/>
        <v>0.19137333461256925</v>
      </c>
      <c r="AK98" s="162">
        <f t="shared" si="212"/>
        <v>0.19137333461256925</v>
      </c>
      <c r="AL98" s="162">
        <f t="shared" si="212"/>
        <v>0.19137333461256925</v>
      </c>
      <c r="AM98" s="162">
        <f t="shared" si="212"/>
        <v>0.19137333461256925</v>
      </c>
      <c r="AN98" s="162">
        <f t="shared" si="212"/>
        <v>0.19137333461256925</v>
      </c>
      <c r="AO98" s="162">
        <f t="shared" si="212"/>
        <v>0.19137333461256925</v>
      </c>
      <c r="AP98" s="162">
        <f t="shared" si="212"/>
        <v>0.19137333461256925</v>
      </c>
      <c r="AQ98" s="162">
        <f t="shared" si="212"/>
        <v>0.19137333461256925</v>
      </c>
      <c r="AR98" s="162">
        <f t="shared" si="212"/>
        <v>0.19137333461256925</v>
      </c>
      <c r="AS98" s="162">
        <f t="shared" si="212"/>
        <v>0.19137333461256925</v>
      </c>
      <c r="AT98" s="162">
        <f t="shared" si="212"/>
        <v>0.19137333461256925</v>
      </c>
      <c r="AU98" s="162">
        <f t="shared" si="212"/>
        <v>0.19137333461256925</v>
      </c>
      <c r="AV98" s="162">
        <f t="shared" si="212"/>
        <v>0.19137333461256925</v>
      </c>
      <c r="AW98" s="162">
        <f t="shared" si="212"/>
        <v>0.19137333461256925</v>
      </c>
      <c r="AX98" s="162">
        <f t="shared" si="212"/>
        <v>0.19137333461256925</v>
      </c>
      <c r="AY98" s="162">
        <f t="shared" si="212"/>
        <v>0.19137333461256925</v>
      </c>
      <c r="AZ98" s="162">
        <f t="shared" si="212"/>
        <v>0.19137333461256925</v>
      </c>
      <c r="BA98" s="162">
        <f t="shared" si="212"/>
        <v>0.19137333461256925</v>
      </c>
      <c r="BB98" s="162">
        <f t="shared" si="212"/>
        <v>0.19137333461256925</v>
      </c>
      <c r="BC98" s="162">
        <f t="shared" si="212"/>
        <v>0.19137333461256925</v>
      </c>
      <c r="BD98" s="162">
        <f t="shared" si="212"/>
        <v>0.19137333461256925</v>
      </c>
      <c r="BE98" s="162">
        <f t="shared" si="212"/>
        <v>0.19137333461256925</v>
      </c>
      <c r="BF98" s="162">
        <f t="shared" si="212"/>
        <v>0.19137333461256925</v>
      </c>
      <c r="BG98" s="162">
        <f t="shared" si="212"/>
        <v>0.19137333461256925</v>
      </c>
      <c r="BH98" s="162">
        <f t="shared" si="212"/>
        <v>0.19137333461256925</v>
      </c>
      <c r="BI98" s="162">
        <f t="shared" si="212"/>
        <v>0.19137333461256925</v>
      </c>
      <c r="BJ98" s="162">
        <f t="shared" si="212"/>
        <v>0.19137333461256925</v>
      </c>
      <c r="BK98" s="162">
        <f t="shared" si="212"/>
        <v>0.19137333461256925</v>
      </c>
      <c r="BL98" s="162">
        <f t="shared" si="212"/>
        <v>0.19137333461256925</v>
      </c>
      <c r="BM98" s="162">
        <f t="shared" si="212"/>
        <v>0.19137333461256925</v>
      </c>
      <c r="BN98" s="162">
        <f t="shared" si="212"/>
        <v>0.19137333461256925</v>
      </c>
      <c r="BO98" s="162">
        <f t="shared" ref="BO98:CG98" si="213">(BO$40/(BO$10^2))*((PI()^2)/4)*(BO15*100/BO$39)*(((SIN(BO$33))^2)/(BO$5+BO$11*BO$6)^2)</f>
        <v>0.19137333461256925</v>
      </c>
      <c r="BP98" s="162">
        <f t="shared" si="213"/>
        <v>0.19137333461256925</v>
      </c>
      <c r="BQ98" s="162">
        <f t="shared" si="213"/>
        <v>0.19137333461256925</v>
      </c>
      <c r="BR98" s="162">
        <f t="shared" si="213"/>
        <v>0.19137333461256925</v>
      </c>
      <c r="BS98" s="162">
        <f t="shared" si="213"/>
        <v>0.19137333461256925</v>
      </c>
      <c r="BT98" s="162">
        <f t="shared" si="213"/>
        <v>0.19137333461256925</v>
      </c>
      <c r="BU98" s="162">
        <f t="shared" si="213"/>
        <v>0.19137333461256925</v>
      </c>
      <c r="BV98" s="162">
        <f t="shared" si="213"/>
        <v>0.19137333461256925</v>
      </c>
      <c r="BW98" s="162">
        <f t="shared" si="213"/>
        <v>0.19137333461256925</v>
      </c>
      <c r="BX98" s="162">
        <f t="shared" si="213"/>
        <v>0.19137333461256925</v>
      </c>
      <c r="BY98" s="162">
        <f t="shared" si="213"/>
        <v>0.19137333461256925</v>
      </c>
      <c r="BZ98" s="162">
        <f t="shared" si="213"/>
        <v>0.19137333461256925</v>
      </c>
      <c r="CA98" s="162">
        <f t="shared" si="213"/>
        <v>0.19137333461256925</v>
      </c>
      <c r="CB98" s="162">
        <f t="shared" si="213"/>
        <v>0.19137333461256925</v>
      </c>
      <c r="CC98" s="162">
        <f t="shared" si="213"/>
        <v>0.19137333461256925</v>
      </c>
      <c r="CD98" s="162">
        <f t="shared" si="213"/>
        <v>0.19137333461256925</v>
      </c>
      <c r="CE98" s="162">
        <f t="shared" si="213"/>
        <v>0.19137333461256925</v>
      </c>
      <c r="CF98" s="162">
        <f t="shared" si="213"/>
        <v>0.19137333461256925</v>
      </c>
      <c r="CG98" s="162">
        <f t="shared" si="213"/>
        <v>0.19137333461256925</v>
      </c>
    </row>
    <row r="99" spans="1:86" ht="16.5" customHeight="1">
      <c r="B99" s="162" t="s">
        <v>852</v>
      </c>
      <c r="C99" s="162">
        <f t="shared" ref="C99:AH99" si="214">1/((1+(C$23*(1-(1/(C$25^2)))))^2+(C95*(C$25-(1/C$25)))^2)^0.5</f>
        <v>1.8181818518112688E-8</v>
      </c>
      <c r="D99" s="162">
        <f t="shared" si="214"/>
        <v>4.5832292321620123E-4</v>
      </c>
      <c r="E99" s="162">
        <f t="shared" si="214"/>
        <v>1.6793989054247518E-3</v>
      </c>
      <c r="F99" s="162">
        <f t="shared" si="214"/>
        <v>3.6724062293359639E-3</v>
      </c>
      <c r="G99" s="162">
        <f t="shared" si="214"/>
        <v>6.4467081561650199E-3</v>
      </c>
      <c r="H99" s="162">
        <f t="shared" si="214"/>
        <v>1.0015417261358649E-2</v>
      </c>
      <c r="I99" s="162">
        <f t="shared" si="214"/>
        <v>1.439553484471868E-2</v>
      </c>
      <c r="J99" s="162">
        <f t="shared" si="214"/>
        <v>1.9608132290595135E-2</v>
      </c>
      <c r="K99" s="162">
        <f t="shared" si="214"/>
        <v>2.56785766787716E-2</v>
      </c>
      <c r="L99" s="162">
        <f t="shared" si="214"/>
        <v>3.2636803403865176E-2</v>
      </c>
      <c r="M99" s="162">
        <f t="shared" si="214"/>
        <v>4.0517638966810536E-2</v>
      </c>
      <c r="N99" s="162">
        <f t="shared" si="214"/>
        <v>4.9361177419226791E-2</v>
      </c>
      <c r="O99" s="162">
        <f t="shared" si="214"/>
        <v>5.9213214113198326E-2</v>
      </c>
      <c r="P99" s="162">
        <f t="shared" si="214"/>
        <v>7.0125740349527677E-2</v>
      </c>
      <c r="Q99" s="162">
        <f t="shared" si="214"/>
        <v>8.2157502099890561E-2</v>
      </c>
      <c r="R99" s="162">
        <f t="shared" si="214"/>
        <v>9.5374625016641651E-2</v>
      </c>
      <c r="S99" s="162">
        <f t="shared" si="214"/>
        <v>0.10985130616849878</v>
      </c>
      <c r="T99" s="162">
        <f t="shared" si="214"/>
        <v>0.12567056996237669</v>
      </c>
      <c r="U99" s="162">
        <f t="shared" si="214"/>
        <v>0.14292508097539594</v>
      </c>
      <c r="V99" s="162">
        <f t="shared" si="214"/>
        <v>0.16171799913704785</v>
      </c>
      <c r="W99" s="162">
        <f t="shared" si="214"/>
        <v>0.18216385175704972</v>
      </c>
      <c r="X99" s="162">
        <f t="shared" si="214"/>
        <v>0.20438938073656587</v>
      </c>
      <c r="Y99" s="162">
        <f t="shared" si="214"/>
        <v>0.22853429978785658</v>
      </c>
      <c r="Z99" s="162">
        <f t="shared" si="214"/>
        <v>0.25475186271598577</v>
      </c>
      <c r="AA99" s="162">
        <f t="shared" si="214"/>
        <v>0.28320909593829957</v>
      </c>
      <c r="AB99" s="162">
        <f t="shared" si="214"/>
        <v>0.31408648150778889</v>
      </c>
      <c r="AC99" s="162">
        <f t="shared" si="214"/>
        <v>0.34757678499403233</v>
      </c>
      <c r="AD99" s="162">
        <f t="shared" si="214"/>
        <v>0.38388259907840927</v>
      </c>
      <c r="AE99" s="162">
        <f t="shared" si="214"/>
        <v>0.42321201272926029</v>
      </c>
      <c r="AF99" s="162">
        <f t="shared" si="214"/>
        <v>0.46577161500348857</v>
      </c>
      <c r="AG99" s="162">
        <f t="shared" si="214"/>
        <v>0.51175580887317396</v>
      </c>
      <c r="AH99" s="162">
        <f t="shared" si="214"/>
        <v>0.56133117069622529</v>
      </c>
      <c r="AI99" s="162">
        <f t="shared" ref="AI99:BN99" si="215">1/((1+(AI$23*(1-(1/(AI$25^2)))))^2+(AI95*(AI$25-(1/AI$25)))^2)^0.5</f>
        <v>0.61461440836243908</v>
      </c>
      <c r="AJ99" s="162">
        <f t="shared" si="215"/>
        <v>0.67164247008747713</v>
      </c>
      <c r="AK99" s="162">
        <f t="shared" si="215"/>
        <v>0.73233374997914813</v>
      </c>
      <c r="AL99" s="162">
        <f t="shared" si="215"/>
        <v>0.79644044646153156</v>
      </c>
      <c r="AM99" s="162">
        <f t="shared" si="215"/>
        <v>0.8634943535479308</v>
      </c>
      <c r="AN99" s="162">
        <f t="shared" si="215"/>
        <v>0.93275203656963179</v>
      </c>
      <c r="AO99" s="162">
        <f t="shared" si="215"/>
        <v>1.003150398258156</v>
      </c>
      <c r="AP99" s="162">
        <f t="shared" si="215"/>
        <v>1.0732890703709832</v>
      </c>
      <c r="AQ99" s="162">
        <f t="shared" si="215"/>
        <v>1.1414593842524186</v>
      </c>
      <c r="AR99" s="162">
        <f t="shared" si="215"/>
        <v>1.2057370219642705</v>
      </c>
      <c r="AS99" s="162">
        <f t="shared" si="215"/>
        <v>1.2588847821485556</v>
      </c>
      <c r="AT99" s="162">
        <f t="shared" si="215"/>
        <v>1.3104016183339706</v>
      </c>
      <c r="AU99" s="162">
        <f t="shared" si="215"/>
        <v>1.3529040516280495</v>
      </c>
      <c r="AV99" s="162">
        <f t="shared" si="215"/>
        <v>1.385457051329275</v>
      </c>
      <c r="AW99" s="162">
        <f t="shared" si="215"/>
        <v>1.4077710816753612</v>
      </c>
      <c r="AX99" s="162">
        <f t="shared" si="215"/>
        <v>1.4201880254636952</v>
      </c>
      <c r="AY99" s="162">
        <f t="shared" si="215"/>
        <v>1.4235685714219755</v>
      </c>
      <c r="AZ99" s="162">
        <f t="shared" si="215"/>
        <v>1.4191211922037588</v>
      </c>
      <c r="BA99" s="162">
        <f t="shared" si="215"/>
        <v>1.4082203221791447</v>
      </c>
      <c r="BB99" s="162">
        <f t="shared" si="215"/>
        <v>1.3922509056972197</v>
      </c>
      <c r="BC99" s="162">
        <f t="shared" si="215"/>
        <v>1.3724980006230321</v>
      </c>
      <c r="BD99" s="162">
        <f t="shared" si="215"/>
        <v>1.3500833438619606</v>
      </c>
      <c r="BE99" s="162">
        <f t="shared" si="215"/>
        <v>1.3259405602968872</v>
      </c>
      <c r="BF99" s="162">
        <f t="shared" si="215"/>
        <v>1.3008170907775383</v>
      </c>
      <c r="BG99" s="162">
        <f t="shared" si="215"/>
        <v>1.2752916651194011</v>
      </c>
      <c r="BH99" s="162">
        <f t="shared" si="215"/>
        <v>1.2497988125680326</v>
      </c>
      <c r="BI99" s="162">
        <f t="shared" si="215"/>
        <v>1.2246548353278761</v>
      </c>
      <c r="BJ99" s="162">
        <f t="shared" si="215"/>
        <v>1.2000820844436693</v>
      </c>
      <c r="BK99" s="162">
        <f t="shared" si="215"/>
        <v>1.1762300670096113</v>
      </c>
      <c r="BL99" s="162">
        <f t="shared" si="215"/>
        <v>1.1531929599220219</v>
      </c>
      <c r="BM99" s="162">
        <f t="shared" si="215"/>
        <v>1.1310236789407071</v>
      </c>
      <c r="BN99" s="162">
        <f t="shared" si="215"/>
        <v>1.1097449177704157</v>
      </c>
      <c r="BO99" s="162">
        <f t="shared" ref="BO99:CG99" si="216">1/((1+(BO$23*(1-(1/(BO$25^2)))))^2+(BO95*(BO$25-(1/BO$25)))^2)^0.5</f>
        <v>1.0893576565379341</v>
      </c>
      <c r="BP99" s="162">
        <f t="shared" si="216"/>
        <v>1.0698476274490112</v>
      </c>
      <c r="BQ99" s="162">
        <f t="shared" si="216"/>
        <v>1.0511901697867843</v>
      </c>
      <c r="BR99" s="162">
        <f t="shared" si="216"/>
        <v>1.0333538363307306</v>
      </c>
      <c r="BS99" s="162">
        <f t="shared" si="216"/>
        <v>1.0163030440071044</v>
      </c>
      <c r="BT99" s="162">
        <f t="shared" si="216"/>
        <v>1</v>
      </c>
      <c r="BU99" s="162">
        <f t="shared" si="216"/>
        <v>0.90968639032216814</v>
      </c>
      <c r="BV99" s="162">
        <f t="shared" si="216"/>
        <v>0.8399927850214447</v>
      </c>
      <c r="BW99" s="162">
        <f t="shared" si="216"/>
        <v>0.78427231932097141</v>
      </c>
      <c r="BX99" s="162">
        <f t="shared" si="216"/>
        <v>0.73825211000853397</v>
      </c>
      <c r="BY99" s="162">
        <f t="shared" si="216"/>
        <v>0.69919530506617655</v>
      </c>
      <c r="BZ99" s="162">
        <f t="shared" si="216"/>
        <v>0.66531033193366784</v>
      </c>
      <c r="CA99" s="162">
        <f t="shared" si="216"/>
        <v>0.6353909342997196</v>
      </c>
      <c r="CB99" s="162">
        <f t="shared" si="216"/>
        <v>0.60860111407215811</v>
      </c>
      <c r="CC99" s="162">
        <f t="shared" si="216"/>
        <v>0.58434504373536789</v>
      </c>
      <c r="CD99" s="162">
        <f t="shared" si="216"/>
        <v>0.56218665244279065</v>
      </c>
      <c r="CE99" s="162">
        <f t="shared" si="216"/>
        <v>0.54179872719695321</v>
      </c>
      <c r="CF99" s="162">
        <f t="shared" si="216"/>
        <v>0.52292994137805859</v>
      </c>
      <c r="CG99" s="162">
        <f t="shared" si="216"/>
        <v>0.50538302490712406</v>
      </c>
    </row>
    <row r="100" spans="1:86" ht="16.5" customHeight="1">
      <c r="B100" s="162" t="s">
        <v>853</v>
      </c>
      <c r="C100" s="162">
        <f t="shared" ref="C100:AH100" si="217">1/((1+(C$23*(1-(1/(C$25^2)))))^2+(C96*(C$25-(1/C$25)))^2)^0.5</f>
        <v>1.8181818595157402E-8</v>
      </c>
      <c r="D100" s="162">
        <f t="shared" si="217"/>
        <v>4.5837188582013779E-4</v>
      </c>
      <c r="E100" s="162">
        <f t="shared" si="217"/>
        <v>1.680056519178575E-3</v>
      </c>
      <c r="F100" s="162">
        <f t="shared" si="217"/>
        <v>3.6755525046565144E-3</v>
      </c>
      <c r="G100" s="162">
        <f t="shared" si="217"/>
        <v>6.4564109285917964E-3</v>
      </c>
      <c r="H100" s="162">
        <f t="shared" si="217"/>
        <v>1.0038858347821332E-2</v>
      </c>
      <c r="I100" s="162">
        <f t="shared" si="217"/>
        <v>1.444402059116973E-2</v>
      </c>
      <c r="J100" s="162">
        <f t="shared" si="217"/>
        <v>1.9698217479668809E-2</v>
      </c>
      <c r="K100" s="162">
        <f t="shared" si="217"/>
        <v>2.5833335155507446E-2</v>
      </c>
      <c r="L100" s="162">
        <f t="shared" si="217"/>
        <v>3.2887284541373248E-2</v>
      </c>
      <c r="M100" s="162">
        <f t="shared" si="217"/>
        <v>4.0904556512491849E-2</v>
      </c>
      <c r="N100" s="162">
        <f t="shared" si="217"/>
        <v>4.9936886697674668E-2</v>
      </c>
      <c r="O100" s="162">
        <f t="shared" si="217"/>
        <v>6.0044045473988193E-2</v>
      </c>
      <c r="P100" s="162">
        <f t="shared" si="217"/>
        <v>7.1294771713382415E-2</v>
      </c>
      <c r="Q100" s="162">
        <f t="shared" si="217"/>
        <v>8.3767872188715425E-2</v>
      </c>
      <c r="R100" s="162">
        <f t="shared" si="217"/>
        <v>9.7553512220338715E-2</v>
      </c>
      <c r="S100" s="162">
        <f t="shared" si="217"/>
        <v>0.11275472703849006</v>
      </c>
      <c r="T100" s="162">
        <f t="shared" si="217"/>
        <v>0.12948918721896899</v>
      </c>
      <c r="U100" s="162">
        <f t="shared" si="217"/>
        <v>0.14789125497047451</v>
      </c>
      <c r="V100" s="162">
        <f t="shared" si="217"/>
        <v>0.16811437019924394</v>
      </c>
      <c r="W100" s="162">
        <f t="shared" si="217"/>
        <v>0.19033380473895994</v>
      </c>
      <c r="X100" s="162">
        <f t="shared" si="217"/>
        <v>0.21474981752026126</v>
      </c>
      <c r="Y100" s="162">
        <f t="shared" si="217"/>
        <v>0.24159122878305819</v>
      </c>
      <c r="Z100" s="162">
        <f t="shared" si="217"/>
        <v>0.2711194011620271</v>
      </c>
      <c r="AA100" s="162">
        <f t="shared" si="217"/>
        <v>0.30363255896369062</v>
      </c>
      <c r="AB100" s="162">
        <f t="shared" si="217"/>
        <v>0.33947027710177646</v>
      </c>
      <c r="AC100" s="162">
        <f t="shared" si="217"/>
        <v>0.37901780082939251</v>
      </c>
      <c r="AD100" s="162">
        <f t="shared" si="217"/>
        <v>0.42270957427788897</v>
      </c>
      <c r="AE100" s="162">
        <f t="shared" si="217"/>
        <v>0.47103089552574284</v>
      </c>
      <c r="AF100" s="162">
        <f t="shared" si="217"/>
        <v>0.52451588445922326</v>
      </c>
      <c r="AG100" s="162">
        <f t="shared" si="217"/>
        <v>0.58373881883071432</v>
      </c>
      <c r="AH100" s="162">
        <f t="shared" si="217"/>
        <v>0.64929421093000761</v>
      </c>
      <c r="AI100" s="162">
        <f t="shared" ref="AI100:BN100" si="218">1/((1+(AI$23*(1-(1/(AI$25^2)))))^2+(AI96*(AI$25-(1/AI$25)))^2)^0.5</f>
        <v>0.72175863592546818</v>
      </c>
      <c r="AJ100" s="162">
        <f t="shared" si="218"/>
        <v>0.80162433373528208</v>
      </c>
      <c r="AK100" s="162">
        <f t="shared" si="218"/>
        <v>0.8891915711410272</v>
      </c>
      <c r="AL100" s="162">
        <f t="shared" si="218"/>
        <v>0.98440548302161845</v>
      </c>
      <c r="AM100" s="162">
        <f t="shared" si="218"/>
        <v>1.0866277397279791</v>
      </c>
      <c r="AN100" s="162">
        <f t="shared" si="218"/>
        <v>1.1943512717600773</v>
      </c>
      <c r="AO100" s="162">
        <f t="shared" si="218"/>
        <v>1.3049065701845519</v>
      </c>
      <c r="AP100" s="162">
        <f t="shared" si="218"/>
        <v>1.4142732122266555</v>
      </c>
      <c r="AQ100" s="162">
        <f t="shared" si="218"/>
        <v>1.5171766069899626</v>
      </c>
      <c r="AR100" s="162">
        <f t="shared" si="218"/>
        <v>1.6076491163367854</v>
      </c>
      <c r="AS100" s="162">
        <f t="shared" si="218"/>
        <v>1.6740841537800992</v>
      </c>
      <c r="AT100" s="162">
        <f t="shared" si="218"/>
        <v>1.7266811348984854</v>
      </c>
      <c r="AU100" s="162">
        <f t="shared" si="218"/>
        <v>1.7558083874561934</v>
      </c>
      <c r="AV100" s="162">
        <f t="shared" si="218"/>
        <v>1.762493262434272</v>
      </c>
      <c r="AW100" s="162">
        <f t="shared" si="218"/>
        <v>1.7499354358069985</v>
      </c>
      <c r="AX100" s="162">
        <f t="shared" si="218"/>
        <v>1.7224830600982552</v>
      </c>
      <c r="AY100" s="162">
        <f t="shared" si="218"/>
        <v>1.6846338225428197</v>
      </c>
      <c r="AZ100" s="162">
        <f t="shared" si="218"/>
        <v>1.6403617570001447</v>
      </c>
      <c r="BA100" s="162">
        <f t="shared" si="218"/>
        <v>1.5928177813263098</v>
      </c>
      <c r="BB100" s="162">
        <f t="shared" si="218"/>
        <v>1.5443028042135027</v>
      </c>
      <c r="BC100" s="162">
        <f t="shared" si="218"/>
        <v>1.4963837535366635</v>
      </c>
      <c r="BD100" s="162">
        <f t="shared" si="218"/>
        <v>1.4500561097705056</v>
      </c>
      <c r="BE100" s="162">
        <f t="shared" si="218"/>
        <v>1.4058999619983727</v>
      </c>
      <c r="BF100" s="162">
        <f t="shared" si="218"/>
        <v>1.364208335461129</v>
      </c>
      <c r="BG100" s="162">
        <f t="shared" si="218"/>
        <v>1.3250840803433506</v>
      </c>
      <c r="BH100" s="162">
        <f t="shared" si="218"/>
        <v>1.2885092002392677</v>
      </c>
      <c r="BI100" s="162">
        <f t="shared" si="218"/>
        <v>1.2543926528817593</v>
      </c>
      <c r="BJ100" s="162">
        <f t="shared" si="218"/>
        <v>1.2226023832805584</v>
      </c>
      <c r="BK100" s="162">
        <f t="shared" si="218"/>
        <v>1.1929862604903154</v>
      </c>
      <c r="BL100" s="162">
        <f t="shared" si="218"/>
        <v>1.1653854119376703</v>
      </c>
      <c r="BM100" s="162">
        <f t="shared" si="218"/>
        <v>1.1396424500659237</v>
      </c>
      <c r="BN100" s="162">
        <f t="shared" si="218"/>
        <v>1.1156063219081926</v>
      </c>
      <c r="BO100" s="162">
        <f t="shared" ref="BO100:CG100" si="219">1/((1+(BO$23*(1-(1/(BO$25^2)))))^2+(BO96*(BO$25-(1/BO$25)))^2)^0.5</f>
        <v>1.0931349594595605</v>
      </c>
      <c r="BP100" s="162">
        <f t="shared" si="219"/>
        <v>1.0720965218373424</v>
      </c>
      <c r="BQ100" s="162">
        <f t="shared" si="219"/>
        <v>1.0523697549246271</v>
      </c>
      <c r="BR100" s="162">
        <f t="shared" si="219"/>
        <v>1.0338438146762818</v>
      </c>
      <c r="BS100" s="162">
        <f t="shared" si="219"/>
        <v>1.0164177798840832</v>
      </c>
      <c r="BT100" s="162">
        <f t="shared" si="219"/>
        <v>1</v>
      </c>
      <c r="BU100" s="162">
        <f t="shared" si="219"/>
        <v>0.91283665392785451</v>
      </c>
      <c r="BV100" s="162">
        <f t="shared" si="219"/>
        <v>0.84928162726533984</v>
      </c>
      <c r="BW100" s="162">
        <f t="shared" si="219"/>
        <v>0.80038408901098912</v>
      </c>
      <c r="BX100" s="162">
        <f t="shared" si="219"/>
        <v>0.76107476580529043</v>
      </c>
      <c r="BY100" s="162">
        <f t="shared" si="219"/>
        <v>0.72832711363069746</v>
      </c>
      <c r="BZ100" s="162">
        <f t="shared" si="219"/>
        <v>0.7002478103804145</v>
      </c>
      <c r="CA100" s="162">
        <f t="shared" si="219"/>
        <v>0.67560472236773716</v>
      </c>
      <c r="CB100" s="162">
        <f t="shared" si="219"/>
        <v>0.65356885002387721</v>
      </c>
      <c r="CC100" s="162">
        <f t="shared" si="219"/>
        <v>0.63356636566197178</v>
      </c>
      <c r="CD100" s="162">
        <f t="shared" si="219"/>
        <v>0.61519015487917428</v>
      </c>
      <c r="CE100" s="162">
        <f t="shared" si="219"/>
        <v>0.59814498811579897</v>
      </c>
      <c r="CF100" s="162">
        <f t="shared" si="219"/>
        <v>0.58221246563075635</v>
      </c>
      <c r="CG100" s="162">
        <f t="shared" si="219"/>
        <v>0.56722799898630183</v>
      </c>
    </row>
    <row r="101" spans="1:86" ht="16.5" customHeight="1">
      <c r="B101" s="162" t="s">
        <v>854</v>
      </c>
      <c r="C101" s="162">
        <f t="shared" ref="C101:AH101" si="220">1/((1+(C$23*(1-(1/(C$25^2)))))^2+(C97*(C$25-(1/C$25)))^2)^0.5</f>
        <v>1.8181818650189341E-8</v>
      </c>
      <c r="D101" s="162">
        <f t="shared" si="220"/>
        <v>4.5840686871758372E-4</v>
      </c>
      <c r="E101" s="162">
        <f t="shared" si="220"/>
        <v>1.6805267165416486E-3</v>
      </c>
      <c r="F101" s="162">
        <f t="shared" si="220"/>
        <v>3.6778048016004087E-3</v>
      </c>
      <c r="G101" s="162">
        <f t="shared" si="220"/>
        <v>6.4633683645391815E-3</v>
      </c>
      <c r="H101" s="162">
        <f t="shared" si="220"/>
        <v>1.0055703112093996E-2</v>
      </c>
      <c r="I101" s="162">
        <f t="shared" si="220"/>
        <v>1.4478954763366476E-2</v>
      </c>
      <c r="J101" s="162">
        <f t="shared" si="220"/>
        <v>1.9763329584625074E-2</v>
      </c>
      <c r="K101" s="162">
        <f t="shared" si="220"/>
        <v>2.5945605913297972E-2</v>
      </c>
      <c r="L101" s="162">
        <f t="shared" si="220"/>
        <v>3.3069772363104391E-2</v>
      </c>
      <c r="M101" s="162">
        <f t="shared" si="220"/>
        <v>4.118781283153191E-2</v>
      </c>
      <c r="N101" s="162">
        <f t="shared" si="220"/>
        <v>5.0360663831663134E-2</v>
      </c>
      <c r="O101" s="162">
        <f t="shared" si="220"/>
        <v>6.0659376339034607E-2</v>
      </c>
      <c r="P101" s="162">
        <f t="shared" si="220"/>
        <v>7.2166522660376417E-2</v>
      </c>
      <c r="Q101" s="162">
        <f t="shared" si="220"/>
        <v>8.4977899283862027E-2</v>
      </c>
      <c r="R101" s="162">
        <f t="shared" si="220"/>
        <v>9.920458989196794E-2</v>
      </c>
      <c r="S101" s="162">
        <f t="shared" si="220"/>
        <v>0.1149754695249008</v>
      </c>
      <c r="T101" s="162">
        <f t="shared" si="220"/>
        <v>0.13244025232619219</v>
      </c>
      <c r="U101" s="162">
        <f t="shared" si="220"/>
        <v>0.15177321272464672</v>
      </c>
      <c r="V101" s="162">
        <f t="shared" si="220"/>
        <v>0.17317774499488978</v>
      </c>
      <c r="W101" s="162">
        <f t="shared" si="220"/>
        <v>0.19689197095287031</v>
      </c>
      <c r="X101" s="162">
        <f t="shared" si="220"/>
        <v>0.22319566247400879</v>
      </c>
      <c r="Y101" s="162">
        <f t="shared" si="220"/>
        <v>0.25241881706906449</v>
      </c>
      <c r="Z101" s="162">
        <f t="shared" si="220"/>
        <v>0.28495231289617062</v>
      </c>
      <c r="AA101" s="162">
        <f t="shared" si="220"/>
        <v>0.32126117429336976</v>
      </c>
      <c r="AB101" s="162">
        <f t="shared" si="220"/>
        <v>0.36190109481976013</v>
      </c>
      <c r="AC101" s="162">
        <f t="shared" si="220"/>
        <v>0.40753897410240258</v>
      </c>
      <c r="AD101" s="162">
        <f t="shared" si="220"/>
        <v>0.45897828241116134</v>
      </c>
      <c r="AE101" s="162">
        <f t="shared" si="220"/>
        <v>0.51718996968793485</v>
      </c>
      <c r="AF101" s="162">
        <f t="shared" si="220"/>
        <v>0.5833491596157625</v>
      </c>
      <c r="AG101" s="162">
        <f t="shared" si="220"/>
        <v>0.65887654190869349</v>
      </c>
      <c r="AH101" s="162">
        <f t="shared" si="220"/>
        <v>0.74548022513366763</v>
      </c>
      <c r="AI101" s="162">
        <f t="shared" ref="AI101:BN101" si="221">1/((1+(AI$23*(1-(1/(AI$25^2)))))^2+(AI97*(AI$25-(1/AI$25)))^2)^0.5</f>
        <v>0.84518688802202069</v>
      </c>
      <c r="AJ101" s="162">
        <f t="shared" si="221"/>
        <v>0.9603366098544005</v>
      </c>
      <c r="AK101" s="162">
        <f t="shared" si="221"/>
        <v>1.093487042032284</v>
      </c>
      <c r="AL101" s="162">
        <f t="shared" si="221"/>
        <v>1.2471194244471993</v>
      </c>
      <c r="AM101" s="162">
        <f t="shared" si="221"/>
        <v>1.422952731369499</v>
      </c>
      <c r="AN101" s="162">
        <f t="shared" si="221"/>
        <v>1.6205722182521181</v>
      </c>
      <c r="AO101" s="162">
        <f t="shared" si="221"/>
        <v>1.8350940556187969</v>
      </c>
      <c r="AP101" s="162">
        <f t="shared" si="221"/>
        <v>2.0541042470596063</v>
      </c>
      <c r="AQ101" s="162">
        <f t="shared" si="221"/>
        <v>2.2556900747479447</v>
      </c>
      <c r="AR101" s="162">
        <f t="shared" si="221"/>
        <v>2.4114726190107905</v>
      </c>
      <c r="AS101" s="162">
        <f t="shared" si="221"/>
        <v>2.4924312006832365</v>
      </c>
      <c r="AT101" s="162">
        <f t="shared" si="221"/>
        <v>2.5077143458320559</v>
      </c>
      <c r="AU101" s="162">
        <f t="shared" si="221"/>
        <v>2.4557070906709852</v>
      </c>
      <c r="AV101" s="162">
        <f t="shared" si="221"/>
        <v>2.3587479329276233</v>
      </c>
      <c r="AW101" s="162">
        <f t="shared" si="221"/>
        <v>2.2394919913488485</v>
      </c>
      <c r="AX101" s="162">
        <f t="shared" si="221"/>
        <v>2.1145381110033363</v>
      </c>
      <c r="AY101" s="162">
        <f t="shared" si="221"/>
        <v>1.9936912999610927</v>
      </c>
      <c r="AZ101" s="162">
        <f t="shared" si="221"/>
        <v>1.8817160454773347</v>
      </c>
      <c r="BA101" s="162">
        <f t="shared" si="221"/>
        <v>1.7803116344359531</v>
      </c>
      <c r="BB101" s="162">
        <f t="shared" si="221"/>
        <v>1.6895426577937451</v>
      </c>
      <c r="BC101" s="162">
        <f t="shared" si="221"/>
        <v>1.6087048347459854</v>
      </c>
      <c r="BD101" s="162">
        <f t="shared" si="221"/>
        <v>1.5367986224726884</v>
      </c>
      <c r="BE101" s="162">
        <f t="shared" si="221"/>
        <v>1.4727691980209914</v>
      </c>
      <c r="BF101" s="162">
        <f t="shared" si="221"/>
        <v>1.4156179811292442</v>
      </c>
      <c r="BG101" s="162">
        <f t="shared" si="221"/>
        <v>1.3644471601966837</v>
      </c>
      <c r="BH101" s="162">
        <f t="shared" si="221"/>
        <v>1.3184709374407921</v>
      </c>
      <c r="BI101" s="162">
        <f t="shared" si="221"/>
        <v>1.2770112947302708</v>
      </c>
      <c r="BJ101" s="162">
        <f t="shared" si="221"/>
        <v>1.2394873966388507</v>
      </c>
      <c r="BK101" s="162">
        <f t="shared" si="221"/>
        <v>1.2054031390735622</v>
      </c>
      <c r="BL101" s="162">
        <f t="shared" si="221"/>
        <v>1.174334954868238</v>
      </c>
      <c r="BM101" s="162">
        <f t="shared" si="221"/>
        <v>1.1459207656286929</v>
      </c>
      <c r="BN101" s="162">
        <f t="shared" si="221"/>
        <v>1.119850363196401</v>
      </c>
      <c r="BO101" s="162">
        <f t="shared" ref="BO101:CG101" si="222">1/((1+(BO$23*(1-(1/(BO$25^2)))))^2+(BO97*(BO$25-(1/BO$25)))^2)^0.5</f>
        <v>1.0958572176728973</v>
      </c>
      <c r="BP101" s="162">
        <f t="shared" si="222"/>
        <v>1.0737115857325432</v>
      </c>
      <c r="BQ101" s="162">
        <f t="shared" si="222"/>
        <v>1.0532147511188814</v>
      </c>
      <c r="BR101" s="162">
        <f t="shared" si="222"/>
        <v>1.0341942262453798</v>
      </c>
      <c r="BS101" s="162">
        <f t="shared" si="222"/>
        <v>1.0164997578775112</v>
      </c>
      <c r="BT101" s="162">
        <f t="shared" si="222"/>
        <v>1</v>
      </c>
      <c r="BU101" s="162">
        <f t="shared" si="222"/>
        <v>0.91510698626199538</v>
      </c>
      <c r="BV101" s="162">
        <f t="shared" si="222"/>
        <v>0.85610841584561337</v>
      </c>
      <c r="BW101" s="162">
        <f t="shared" si="222"/>
        <v>0.81252010693316412</v>
      </c>
      <c r="BX101" s="162">
        <f t="shared" si="222"/>
        <v>0.7787367231620731</v>
      </c>
      <c r="BY101" s="162">
        <f t="shared" si="222"/>
        <v>0.75151634906667053</v>
      </c>
      <c r="BZ101" s="162">
        <f t="shared" si="222"/>
        <v>0.72886681138606402</v>
      </c>
      <c r="CA101" s="162">
        <f t="shared" si="222"/>
        <v>0.70950413128758327</v>
      </c>
      <c r="CB101" s="162">
        <f t="shared" si="222"/>
        <v>0.69256857126960825</v>
      </c>
      <c r="CC101" s="162">
        <f t="shared" si="222"/>
        <v>0.67746632421161612</v>
      </c>
      <c r="CD101" s="162">
        <f t="shared" si="222"/>
        <v>0.66377665583003265</v>
      </c>
      <c r="CE101" s="162">
        <f t="shared" si="222"/>
        <v>0.65119506975385066</v>
      </c>
      <c r="CF101" s="162">
        <f t="shared" si="222"/>
        <v>0.63949723943494974</v>
      </c>
      <c r="CG101" s="162">
        <f t="shared" si="222"/>
        <v>0.62851539688113345</v>
      </c>
    </row>
    <row r="102" spans="1:86" ht="16.5" customHeight="1">
      <c r="B102" s="162" t="s">
        <v>855</v>
      </c>
      <c r="C102" s="162">
        <f t="shared" ref="C102:AH102" si="223">1/((1+(C$23*(1-(1/(C$25^2)))))^2+(C98*(C$25-(1/C$25)))^2)^0.5</f>
        <v>1.8181818683208502E-8</v>
      </c>
      <c r="D102" s="162">
        <f t="shared" si="223"/>
        <v>4.5842786230108592E-4</v>
      </c>
      <c r="E102" s="162">
        <f t="shared" si="223"/>
        <v>1.680809024525765E-3</v>
      </c>
      <c r="F102" s="162">
        <f t="shared" si="223"/>
        <v>3.6791581688187568E-3</v>
      </c>
      <c r="G102" s="162">
        <f t="shared" si="223"/>
        <v>6.4675536378133421E-3</v>
      </c>
      <c r="H102" s="162">
        <f t="shared" si="223"/>
        <v>1.0065850763201874E-2</v>
      </c>
      <c r="I102" s="162">
        <f t="shared" si="223"/>
        <v>1.4500037328024774E-2</v>
      </c>
      <c r="J102" s="162">
        <f t="shared" si="223"/>
        <v>1.9802708146396588E-2</v>
      </c>
      <c r="K102" s="162">
        <f t="shared" si="223"/>
        <v>2.6013675074983436E-2</v>
      </c>
      <c r="L102" s="162">
        <f t="shared" si="223"/>
        <v>3.3180734075906049E-2</v>
      </c>
      <c r="M102" s="162">
        <f t="shared" si="223"/>
        <v>4.1360617503397396E-2</v>
      </c>
      <c r="N102" s="162">
        <f t="shared" si="223"/>
        <v>5.0620168032037977E-2</v>
      </c>
      <c r="O102" s="162">
        <f t="shared" si="223"/>
        <v>6.1037781179607425E-2</v>
      </c>
      <c r="P102" s="162">
        <f t="shared" si="223"/>
        <v>7.2705177014256245E-2</v>
      </c>
      <c r="Q102" s="162">
        <f t="shared" si="223"/>
        <v>8.5729579492030902E-2</v>
      </c>
      <c r="R102" s="162">
        <f t="shared" si="223"/>
        <v>0.1002364055054049</v>
      </c>
      <c r="S102" s="162">
        <f t="shared" si="223"/>
        <v>0.11637259733355854</v>
      </c>
      <c r="T102" s="162">
        <f t="shared" si="223"/>
        <v>0.13431077490305471</v>
      </c>
      <c r="U102" s="162">
        <f t="shared" si="223"/>
        <v>0.15425444261028617</v>
      </c>
      <c r="V102" s="162">
        <f t="shared" si="223"/>
        <v>0.17644456601591874</v>
      </c>
      <c r="W102" s="162">
        <f t="shared" si="223"/>
        <v>0.20116794623378534</v>
      </c>
      <c r="X102" s="162">
        <f t="shared" si="223"/>
        <v>0.22876797887303377</v>
      </c>
      <c r="Y102" s="162">
        <f t="shared" si="223"/>
        <v>0.25965861205011592</v>
      </c>
      <c r="Z102" s="162">
        <f t="shared" si="223"/>
        <v>0.29434264824747569</v>
      </c>
      <c r="AA102" s="162">
        <f t="shared" si="223"/>
        <v>0.33343602066797307</v>
      </c>
      <c r="AB102" s="162">
        <f t="shared" si="223"/>
        <v>0.37770040012286638</v>
      </c>
      <c r="AC102" s="162">
        <f t="shared" si="223"/>
        <v>0.42808758812965342</v>
      </c>
      <c r="AD102" s="162">
        <f t="shared" si="223"/>
        <v>0.48580084509958088</v>
      </c>
      <c r="AE102" s="162">
        <f t="shared" si="223"/>
        <v>0.55238095042019719</v>
      </c>
      <c r="AF102" s="162">
        <f t="shared" si="223"/>
        <v>0.62982899295871209</v>
      </c>
      <c r="AG102" s="162">
        <f t="shared" si="223"/>
        <v>0.7207846380132269</v>
      </c>
      <c r="AH102" s="162">
        <f t="shared" si="223"/>
        <v>0.82878951781540189</v>
      </c>
      <c r="AI102" s="162">
        <f t="shared" ref="AI102:BN102" si="224">1/((1+(AI$23*(1-(1/(AI$25^2)))))^2+(AI98*(AI$25-(1/AI$25)))^2)^0.5</f>
        <v>0.95868287624738091</v>
      </c>
      <c r="AJ102" s="162">
        <f t="shared" si="224"/>
        <v>1.1172035613630931</v>
      </c>
      <c r="AK102" s="162">
        <f t="shared" si="224"/>
        <v>1.3139088747558167</v>
      </c>
      <c r="AL102" s="162">
        <f t="shared" si="224"/>
        <v>1.5625468158225395</v>
      </c>
      <c r="AM102" s="162">
        <f t="shared" si="224"/>
        <v>1.8829210089431268</v>
      </c>
      <c r="AN102" s="162">
        <f t="shared" si="224"/>
        <v>2.3025623080152298</v>
      </c>
      <c r="AO102" s="162">
        <f t="shared" si="224"/>
        <v>2.8541702653543934</v>
      </c>
      <c r="AP102" s="162">
        <f t="shared" si="224"/>
        <v>3.5526467080629649</v>
      </c>
      <c r="AQ102" s="162">
        <f t="shared" si="224"/>
        <v>4.3115406961507619</v>
      </c>
      <c r="AR102" s="162">
        <f t="shared" si="224"/>
        <v>4.8229338387300968</v>
      </c>
      <c r="AS102" s="162">
        <f t="shared" si="224"/>
        <v>4.7964520664936146</v>
      </c>
      <c r="AT102" s="162">
        <f t="shared" si="224"/>
        <v>4.336303005826422</v>
      </c>
      <c r="AU102" s="162">
        <f t="shared" si="224"/>
        <v>3.7610517658670521</v>
      </c>
      <c r="AV102" s="162">
        <f t="shared" si="224"/>
        <v>3.2542381457402412</v>
      </c>
      <c r="AW102" s="162">
        <f t="shared" si="224"/>
        <v>2.8502939538269425</v>
      </c>
      <c r="AX102" s="162">
        <f t="shared" si="224"/>
        <v>2.5350026268065506</v>
      </c>
      <c r="AY102" s="162">
        <f t="shared" si="224"/>
        <v>2.2874354250099755</v>
      </c>
      <c r="AZ102" s="162">
        <f t="shared" si="224"/>
        <v>2.0902162845493502</v>
      </c>
      <c r="BA102" s="162">
        <f t="shared" si="224"/>
        <v>1.930528731418979</v>
      </c>
      <c r="BB102" s="162">
        <f t="shared" si="224"/>
        <v>1.7991843520165933</v>
      </c>
      <c r="BC102" s="162">
        <f t="shared" si="224"/>
        <v>1.6895909748234033</v>
      </c>
      <c r="BD102" s="162">
        <f t="shared" si="224"/>
        <v>1.5969647697404956</v>
      </c>
      <c r="BE102" s="162">
        <f t="shared" si="224"/>
        <v>1.5177811362128255</v>
      </c>
      <c r="BF102" s="162">
        <f t="shared" si="224"/>
        <v>1.4494012642991574</v>
      </c>
      <c r="BG102" s="162">
        <f t="shared" si="224"/>
        <v>1.3898183191865823</v>
      </c>
      <c r="BH102" s="162">
        <f t="shared" si="224"/>
        <v>1.3374833436664624</v>
      </c>
      <c r="BI102" s="162">
        <f t="shared" si="224"/>
        <v>1.2911842552749473</v>
      </c>
      <c r="BJ102" s="162">
        <f t="shared" si="224"/>
        <v>1.2499605052668783</v>
      </c>
      <c r="BK102" s="162">
        <f t="shared" si="224"/>
        <v>1.2130419880936867</v>
      </c>
      <c r="BL102" s="162">
        <f t="shared" si="224"/>
        <v>1.1798046725715103</v>
      </c>
      <c r="BM102" s="162">
        <f t="shared" si="224"/>
        <v>1.1497379293773902</v>
      </c>
      <c r="BN102" s="162">
        <f t="shared" si="224"/>
        <v>1.1224201558517746</v>
      </c>
      <c r="BO102" s="162">
        <f t="shared" ref="BO102:CG102" si="225">1/((1+(BO$23*(1-(1/(BO$25^2)))))^2+(BO98*(BO$25-(1/BO$25)))^2)^0.5</f>
        <v>1.0975003673168644</v>
      </c>
      <c r="BP102" s="162">
        <f t="shared" si="225"/>
        <v>1.0746841346688487</v>
      </c>
      <c r="BQ102" s="162">
        <f t="shared" si="225"/>
        <v>1.0537227269029805</v>
      </c>
      <c r="BR102" s="162">
        <f t="shared" si="225"/>
        <v>1.034404644291067</v>
      </c>
      <c r="BS102" s="162">
        <f t="shared" si="225"/>
        <v>1.0165489541956412</v>
      </c>
      <c r="BT102" s="162">
        <f t="shared" si="225"/>
        <v>1</v>
      </c>
      <c r="BU102" s="162">
        <f t="shared" si="225"/>
        <v>0.91647734379833512</v>
      </c>
      <c r="BV102" s="162">
        <f t="shared" si="225"/>
        <v>0.86028436642826533</v>
      </c>
      <c r="BW102" s="162">
        <f t="shared" si="225"/>
        <v>0.82007216894251167</v>
      </c>
      <c r="BX102" s="162">
        <f t="shared" si="225"/>
        <v>0.78994297027907479</v>
      </c>
      <c r="BY102" s="162">
        <f t="shared" si="225"/>
        <v>0.76654024129150122</v>
      </c>
      <c r="BZ102" s="162">
        <f t="shared" si="225"/>
        <v>0.74781967048169318</v>
      </c>
      <c r="CA102" s="162">
        <f t="shared" si="225"/>
        <v>0.73246896067819267</v>
      </c>
      <c r="CB102" s="162">
        <f t="shared" si="225"/>
        <v>0.71960964313210452</v>
      </c>
      <c r="CC102" s="162">
        <f t="shared" si="225"/>
        <v>0.70863319695382398</v>
      </c>
      <c r="CD102" s="162">
        <f t="shared" si="225"/>
        <v>0.69910594845089125</v>
      </c>
      <c r="CE102" s="162">
        <f t="shared" si="225"/>
        <v>0.69071134339154283</v>
      </c>
      <c r="CF102" s="162">
        <f t="shared" si="225"/>
        <v>0.68321355228677327</v>
      </c>
      <c r="CG102" s="162">
        <f t="shared" si="225"/>
        <v>0.67643377084181289</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0.38274666922513839</v>
      </c>
      <c r="D104" s="162">
        <f t="shared" si="226"/>
        <v>0.38274666922513839</v>
      </c>
      <c r="E104" s="162">
        <f t="shared" si="226"/>
        <v>0.38274666922513839</v>
      </c>
      <c r="F104" s="162">
        <f t="shared" si="226"/>
        <v>0.38274666922513839</v>
      </c>
      <c r="G104" s="162">
        <f t="shared" si="226"/>
        <v>0.38274666922513839</v>
      </c>
      <c r="H104" s="162">
        <f t="shared" si="226"/>
        <v>0.38274666922513839</v>
      </c>
      <c r="I104" s="162">
        <f t="shared" si="226"/>
        <v>0.38274666922513839</v>
      </c>
      <c r="J104" s="162">
        <f t="shared" si="226"/>
        <v>0.38274666922513839</v>
      </c>
      <c r="K104" s="162">
        <f t="shared" si="226"/>
        <v>0.38274666922513839</v>
      </c>
      <c r="L104" s="162">
        <f t="shared" si="226"/>
        <v>0.38274666922513839</v>
      </c>
      <c r="M104" s="162">
        <f t="shared" si="226"/>
        <v>0.38274666922513839</v>
      </c>
      <c r="N104" s="162">
        <f t="shared" si="226"/>
        <v>0.38274666922513839</v>
      </c>
      <c r="O104" s="162">
        <f t="shared" si="226"/>
        <v>0.38274666922513839</v>
      </c>
      <c r="P104" s="162">
        <f t="shared" si="226"/>
        <v>0.38274666922513839</v>
      </c>
      <c r="Q104" s="162">
        <f t="shared" si="226"/>
        <v>0.38274666922513839</v>
      </c>
      <c r="R104" s="162">
        <f t="shared" si="226"/>
        <v>0.38274666922513839</v>
      </c>
      <c r="S104" s="162">
        <f t="shared" si="226"/>
        <v>0.38274666922513839</v>
      </c>
      <c r="T104" s="162">
        <f t="shared" si="226"/>
        <v>0.38274666922513839</v>
      </c>
      <c r="U104" s="162">
        <f t="shared" si="226"/>
        <v>0.38274666922513839</v>
      </c>
      <c r="V104" s="162">
        <f t="shared" si="226"/>
        <v>0.38274666922513839</v>
      </c>
      <c r="W104" s="162">
        <f t="shared" si="226"/>
        <v>0.38274666922513839</v>
      </c>
      <c r="X104" s="162">
        <f t="shared" si="226"/>
        <v>0.38274666922513839</v>
      </c>
      <c r="Y104" s="162">
        <f t="shared" si="226"/>
        <v>0.38274666922513839</v>
      </c>
      <c r="Z104" s="162">
        <f t="shared" si="226"/>
        <v>0.38274666922513839</v>
      </c>
      <c r="AA104" s="162">
        <f t="shared" si="226"/>
        <v>0.38274666922513839</v>
      </c>
      <c r="AB104" s="162">
        <f t="shared" si="226"/>
        <v>0.38274666922513839</v>
      </c>
      <c r="AC104" s="162">
        <f t="shared" si="226"/>
        <v>0.38274666922513839</v>
      </c>
      <c r="AD104" s="162">
        <f t="shared" si="226"/>
        <v>0.38274666922513839</v>
      </c>
      <c r="AE104" s="162">
        <f t="shared" si="226"/>
        <v>0.38274666922513839</v>
      </c>
      <c r="AF104" s="162">
        <f t="shared" si="226"/>
        <v>0.38274666922513839</v>
      </c>
      <c r="AG104" s="162">
        <f t="shared" si="226"/>
        <v>0.38274666922513839</v>
      </c>
      <c r="AH104" s="162">
        <f t="shared" si="226"/>
        <v>0.38274666922513839</v>
      </c>
      <c r="AI104" s="162">
        <f t="shared" ref="AI104:BN104" si="227">(AI$40/(AI$10^2))*((PI()^2)/4)*(AI12*100/AI$39)*(((SIN(AI$36))^2)/(AI$5+AI$11*AI$6)^2)</f>
        <v>0.38274666922513839</v>
      </c>
      <c r="AJ104" s="162">
        <f t="shared" si="227"/>
        <v>0.38274666922513839</v>
      </c>
      <c r="AK104" s="162">
        <f t="shared" si="227"/>
        <v>0.38274666922513839</v>
      </c>
      <c r="AL104" s="162">
        <f t="shared" si="227"/>
        <v>0.38274666922513839</v>
      </c>
      <c r="AM104" s="162">
        <f t="shared" si="227"/>
        <v>0.38274666922513839</v>
      </c>
      <c r="AN104" s="162">
        <f t="shared" si="227"/>
        <v>0.38274666922513839</v>
      </c>
      <c r="AO104" s="162">
        <f t="shared" si="227"/>
        <v>0.38274666922513839</v>
      </c>
      <c r="AP104" s="162">
        <f t="shared" si="227"/>
        <v>0.38274666922513839</v>
      </c>
      <c r="AQ104" s="162">
        <f t="shared" si="227"/>
        <v>0.38274666922513839</v>
      </c>
      <c r="AR104" s="162">
        <f t="shared" si="227"/>
        <v>0.38274666922513839</v>
      </c>
      <c r="AS104" s="162">
        <f t="shared" si="227"/>
        <v>0.38274666922513839</v>
      </c>
      <c r="AT104" s="162">
        <f t="shared" si="227"/>
        <v>0.38274666922513839</v>
      </c>
      <c r="AU104" s="162">
        <f t="shared" si="227"/>
        <v>0.38274666922513839</v>
      </c>
      <c r="AV104" s="162">
        <f t="shared" si="227"/>
        <v>0.38274666922513839</v>
      </c>
      <c r="AW104" s="162">
        <f t="shared" si="227"/>
        <v>0.38274666922513839</v>
      </c>
      <c r="AX104" s="162">
        <f t="shared" si="227"/>
        <v>0.38274666922513839</v>
      </c>
      <c r="AY104" s="162">
        <f t="shared" si="227"/>
        <v>0.38274666922513839</v>
      </c>
      <c r="AZ104" s="162">
        <f t="shared" si="227"/>
        <v>0.38274666922513839</v>
      </c>
      <c r="BA104" s="162">
        <f t="shared" si="227"/>
        <v>0.38274666922513839</v>
      </c>
      <c r="BB104" s="162">
        <f t="shared" si="227"/>
        <v>0.38274666922513839</v>
      </c>
      <c r="BC104" s="162">
        <f t="shared" si="227"/>
        <v>0.38274666922513839</v>
      </c>
      <c r="BD104" s="162">
        <f t="shared" si="227"/>
        <v>0.38274666922513839</v>
      </c>
      <c r="BE104" s="162">
        <f t="shared" si="227"/>
        <v>0.38274666922513839</v>
      </c>
      <c r="BF104" s="162">
        <f t="shared" si="227"/>
        <v>0.38274666922513839</v>
      </c>
      <c r="BG104" s="162">
        <f t="shared" si="227"/>
        <v>0.38274666922513839</v>
      </c>
      <c r="BH104" s="162">
        <f t="shared" si="227"/>
        <v>0.38274666922513839</v>
      </c>
      <c r="BI104" s="162">
        <f t="shared" si="227"/>
        <v>0.38274666922513839</v>
      </c>
      <c r="BJ104" s="162">
        <f t="shared" si="227"/>
        <v>0.38274666922513839</v>
      </c>
      <c r="BK104" s="162">
        <f t="shared" si="227"/>
        <v>0.38274666922513839</v>
      </c>
      <c r="BL104" s="162">
        <f t="shared" si="227"/>
        <v>0.38274666922513839</v>
      </c>
      <c r="BM104" s="162">
        <f t="shared" si="227"/>
        <v>0.38274666922513839</v>
      </c>
      <c r="BN104" s="162">
        <f t="shared" si="227"/>
        <v>0.38274666922513839</v>
      </c>
      <c r="BO104" s="162">
        <f t="shared" ref="BO104:CG104" si="228">(BO$40/(BO$10^2))*((PI()^2)/4)*(BO12*100/BO$39)*(((SIN(BO$36))^2)/(BO$5+BO$11*BO$6)^2)</f>
        <v>0.38274666922513839</v>
      </c>
      <c r="BP104" s="162">
        <f t="shared" si="228"/>
        <v>0.38274666922513839</v>
      </c>
      <c r="BQ104" s="162">
        <f t="shared" si="228"/>
        <v>0.38274666922513839</v>
      </c>
      <c r="BR104" s="162">
        <f t="shared" si="228"/>
        <v>0.38274666922513839</v>
      </c>
      <c r="BS104" s="162">
        <f t="shared" si="228"/>
        <v>0.38274666922513839</v>
      </c>
      <c r="BT104" s="162">
        <f t="shared" si="228"/>
        <v>0.38274666922513839</v>
      </c>
      <c r="BU104" s="162">
        <f t="shared" si="228"/>
        <v>0.38274666922513839</v>
      </c>
      <c r="BV104" s="162">
        <f t="shared" si="228"/>
        <v>0.38274666922513839</v>
      </c>
      <c r="BW104" s="162">
        <f t="shared" si="228"/>
        <v>0.38274666922513839</v>
      </c>
      <c r="BX104" s="162">
        <f t="shared" si="228"/>
        <v>0.38274666922513839</v>
      </c>
      <c r="BY104" s="162">
        <f t="shared" si="228"/>
        <v>0.38274666922513839</v>
      </c>
      <c r="BZ104" s="162">
        <f t="shared" si="228"/>
        <v>0.38274666922513839</v>
      </c>
      <c r="CA104" s="162">
        <f t="shared" si="228"/>
        <v>0.38274666922513839</v>
      </c>
      <c r="CB104" s="162">
        <f t="shared" si="228"/>
        <v>0.38274666922513839</v>
      </c>
      <c r="CC104" s="162">
        <f t="shared" si="228"/>
        <v>0.38274666922513839</v>
      </c>
      <c r="CD104" s="162">
        <f t="shared" si="228"/>
        <v>0.38274666922513839</v>
      </c>
      <c r="CE104" s="162">
        <f t="shared" si="228"/>
        <v>0.38274666922513839</v>
      </c>
      <c r="CF104" s="162">
        <f t="shared" si="228"/>
        <v>0.38274666922513839</v>
      </c>
      <c r="CG104" s="162">
        <f t="shared" si="228"/>
        <v>0.38274666922513839</v>
      </c>
      <c r="CH104" s="162"/>
    </row>
    <row r="105" spans="1:86" ht="16.5" customHeight="1">
      <c r="B105" s="162" t="s">
        <v>857</v>
      </c>
      <c r="C105" s="162">
        <f t="shared" ref="C105:AH105" si="229">(C$40/(C$10^2))*((PI()^2)/4)*(C13*100/C$39)*(((SIN(C$36))^2)/(C$5+C$11*C$6)^2)</f>
        <v>0.28706000191885378</v>
      </c>
      <c r="D105" s="162">
        <f t="shared" si="229"/>
        <v>0.28706000191885378</v>
      </c>
      <c r="E105" s="162">
        <f t="shared" si="229"/>
        <v>0.28706000191885378</v>
      </c>
      <c r="F105" s="162">
        <f t="shared" si="229"/>
        <v>0.28706000191885378</v>
      </c>
      <c r="G105" s="162">
        <f t="shared" si="229"/>
        <v>0.28706000191885378</v>
      </c>
      <c r="H105" s="162">
        <f t="shared" si="229"/>
        <v>0.28706000191885378</v>
      </c>
      <c r="I105" s="162">
        <f t="shared" si="229"/>
        <v>0.28706000191885378</v>
      </c>
      <c r="J105" s="162">
        <f t="shared" si="229"/>
        <v>0.28706000191885378</v>
      </c>
      <c r="K105" s="162">
        <f t="shared" si="229"/>
        <v>0.28706000191885378</v>
      </c>
      <c r="L105" s="162">
        <f t="shared" si="229"/>
        <v>0.28706000191885378</v>
      </c>
      <c r="M105" s="162">
        <f t="shared" si="229"/>
        <v>0.28706000191885378</v>
      </c>
      <c r="N105" s="162">
        <f t="shared" si="229"/>
        <v>0.28706000191885378</v>
      </c>
      <c r="O105" s="162">
        <f t="shared" si="229"/>
        <v>0.28706000191885378</v>
      </c>
      <c r="P105" s="162">
        <f t="shared" si="229"/>
        <v>0.28706000191885378</v>
      </c>
      <c r="Q105" s="162">
        <f t="shared" si="229"/>
        <v>0.28706000191885378</v>
      </c>
      <c r="R105" s="162">
        <f t="shared" si="229"/>
        <v>0.28706000191885378</v>
      </c>
      <c r="S105" s="162">
        <f t="shared" si="229"/>
        <v>0.28706000191885378</v>
      </c>
      <c r="T105" s="162">
        <f t="shared" si="229"/>
        <v>0.28706000191885378</v>
      </c>
      <c r="U105" s="162">
        <f t="shared" si="229"/>
        <v>0.28706000191885378</v>
      </c>
      <c r="V105" s="162">
        <f t="shared" si="229"/>
        <v>0.28706000191885378</v>
      </c>
      <c r="W105" s="162">
        <f t="shared" si="229"/>
        <v>0.28706000191885378</v>
      </c>
      <c r="X105" s="162">
        <f t="shared" si="229"/>
        <v>0.28706000191885378</v>
      </c>
      <c r="Y105" s="162">
        <f t="shared" si="229"/>
        <v>0.28706000191885378</v>
      </c>
      <c r="Z105" s="162">
        <f t="shared" si="229"/>
        <v>0.28706000191885378</v>
      </c>
      <c r="AA105" s="162">
        <f t="shared" si="229"/>
        <v>0.28706000191885378</v>
      </c>
      <c r="AB105" s="162">
        <f t="shared" si="229"/>
        <v>0.28706000191885378</v>
      </c>
      <c r="AC105" s="162">
        <f t="shared" si="229"/>
        <v>0.28706000191885378</v>
      </c>
      <c r="AD105" s="162">
        <f t="shared" si="229"/>
        <v>0.28706000191885378</v>
      </c>
      <c r="AE105" s="162">
        <f t="shared" si="229"/>
        <v>0.28706000191885378</v>
      </c>
      <c r="AF105" s="162">
        <f t="shared" si="229"/>
        <v>0.28706000191885378</v>
      </c>
      <c r="AG105" s="162">
        <f t="shared" si="229"/>
        <v>0.28706000191885378</v>
      </c>
      <c r="AH105" s="162">
        <f t="shared" si="229"/>
        <v>0.28706000191885378</v>
      </c>
      <c r="AI105" s="162">
        <f t="shared" ref="AI105:BN105" si="230">(AI$40/(AI$10^2))*((PI()^2)/4)*(AI13*100/AI$39)*(((SIN(AI$36))^2)/(AI$5+AI$11*AI$6)^2)</f>
        <v>0.28706000191885378</v>
      </c>
      <c r="AJ105" s="162">
        <f t="shared" si="230"/>
        <v>0.28706000191885378</v>
      </c>
      <c r="AK105" s="162">
        <f t="shared" si="230"/>
        <v>0.28706000191885378</v>
      </c>
      <c r="AL105" s="162">
        <f t="shared" si="230"/>
        <v>0.28706000191885378</v>
      </c>
      <c r="AM105" s="162">
        <f t="shared" si="230"/>
        <v>0.28706000191885378</v>
      </c>
      <c r="AN105" s="162">
        <f t="shared" si="230"/>
        <v>0.28706000191885378</v>
      </c>
      <c r="AO105" s="162">
        <f t="shared" si="230"/>
        <v>0.28706000191885378</v>
      </c>
      <c r="AP105" s="162">
        <f t="shared" si="230"/>
        <v>0.28706000191885378</v>
      </c>
      <c r="AQ105" s="162">
        <f t="shared" si="230"/>
        <v>0.28706000191885378</v>
      </c>
      <c r="AR105" s="162">
        <f t="shared" si="230"/>
        <v>0.28706000191885378</v>
      </c>
      <c r="AS105" s="162">
        <f t="shared" si="230"/>
        <v>0.28706000191885378</v>
      </c>
      <c r="AT105" s="162">
        <f t="shared" si="230"/>
        <v>0.28706000191885378</v>
      </c>
      <c r="AU105" s="162">
        <f t="shared" si="230"/>
        <v>0.28706000191885378</v>
      </c>
      <c r="AV105" s="162">
        <f t="shared" si="230"/>
        <v>0.28706000191885378</v>
      </c>
      <c r="AW105" s="162">
        <f t="shared" si="230"/>
        <v>0.28706000191885378</v>
      </c>
      <c r="AX105" s="162">
        <f t="shared" si="230"/>
        <v>0.28706000191885378</v>
      </c>
      <c r="AY105" s="162">
        <f t="shared" si="230"/>
        <v>0.28706000191885378</v>
      </c>
      <c r="AZ105" s="162">
        <f t="shared" si="230"/>
        <v>0.28706000191885378</v>
      </c>
      <c r="BA105" s="162">
        <f t="shared" si="230"/>
        <v>0.28706000191885378</v>
      </c>
      <c r="BB105" s="162">
        <f t="shared" si="230"/>
        <v>0.28706000191885378</v>
      </c>
      <c r="BC105" s="162">
        <f t="shared" si="230"/>
        <v>0.28706000191885378</v>
      </c>
      <c r="BD105" s="162">
        <f t="shared" si="230"/>
        <v>0.28706000191885378</v>
      </c>
      <c r="BE105" s="162">
        <f t="shared" si="230"/>
        <v>0.28706000191885378</v>
      </c>
      <c r="BF105" s="162">
        <f t="shared" si="230"/>
        <v>0.28706000191885378</v>
      </c>
      <c r="BG105" s="162">
        <f t="shared" si="230"/>
        <v>0.28706000191885378</v>
      </c>
      <c r="BH105" s="162">
        <f t="shared" si="230"/>
        <v>0.28706000191885378</v>
      </c>
      <c r="BI105" s="162">
        <f t="shared" si="230"/>
        <v>0.28706000191885378</v>
      </c>
      <c r="BJ105" s="162">
        <f t="shared" si="230"/>
        <v>0.28706000191885378</v>
      </c>
      <c r="BK105" s="162">
        <f t="shared" si="230"/>
        <v>0.28706000191885378</v>
      </c>
      <c r="BL105" s="162">
        <f t="shared" si="230"/>
        <v>0.28706000191885378</v>
      </c>
      <c r="BM105" s="162">
        <f t="shared" si="230"/>
        <v>0.28706000191885378</v>
      </c>
      <c r="BN105" s="162">
        <f t="shared" si="230"/>
        <v>0.28706000191885378</v>
      </c>
      <c r="BO105" s="162">
        <f t="shared" ref="BO105:CG105" si="231">(BO$40/(BO$10^2))*((PI()^2)/4)*(BO13*100/BO$39)*(((SIN(BO$36))^2)/(BO$5+BO$11*BO$6)^2)</f>
        <v>0.28706000191885378</v>
      </c>
      <c r="BP105" s="162">
        <f t="shared" si="231"/>
        <v>0.28706000191885378</v>
      </c>
      <c r="BQ105" s="162">
        <f t="shared" si="231"/>
        <v>0.28706000191885378</v>
      </c>
      <c r="BR105" s="162">
        <f t="shared" si="231"/>
        <v>0.28706000191885378</v>
      </c>
      <c r="BS105" s="162">
        <f t="shared" si="231"/>
        <v>0.28706000191885378</v>
      </c>
      <c r="BT105" s="162">
        <f t="shared" si="231"/>
        <v>0.28706000191885378</v>
      </c>
      <c r="BU105" s="162">
        <f t="shared" si="231"/>
        <v>0.28706000191885378</v>
      </c>
      <c r="BV105" s="162">
        <f t="shared" si="231"/>
        <v>0.28706000191885378</v>
      </c>
      <c r="BW105" s="162">
        <f t="shared" si="231"/>
        <v>0.28706000191885378</v>
      </c>
      <c r="BX105" s="162">
        <f t="shared" si="231"/>
        <v>0.28706000191885378</v>
      </c>
      <c r="BY105" s="162">
        <f t="shared" si="231"/>
        <v>0.28706000191885378</v>
      </c>
      <c r="BZ105" s="162">
        <f t="shared" si="231"/>
        <v>0.28706000191885378</v>
      </c>
      <c r="CA105" s="162">
        <f t="shared" si="231"/>
        <v>0.28706000191885378</v>
      </c>
      <c r="CB105" s="162">
        <f t="shared" si="231"/>
        <v>0.28706000191885378</v>
      </c>
      <c r="CC105" s="162">
        <f t="shared" si="231"/>
        <v>0.28706000191885378</v>
      </c>
      <c r="CD105" s="162">
        <f t="shared" si="231"/>
        <v>0.28706000191885378</v>
      </c>
      <c r="CE105" s="162">
        <f t="shared" si="231"/>
        <v>0.28706000191885378</v>
      </c>
      <c r="CF105" s="162">
        <f t="shared" si="231"/>
        <v>0.28706000191885378</v>
      </c>
      <c r="CG105" s="162">
        <f t="shared" si="231"/>
        <v>0.28706000191885378</v>
      </c>
      <c r="CH105" s="162"/>
    </row>
    <row r="106" spans="1:86" ht="16.5" customHeight="1">
      <c r="B106" s="162" t="s">
        <v>858</v>
      </c>
      <c r="C106" s="162">
        <f t="shared" ref="C106:AH106" si="232">(C$40/(C$10^2))*((PI()^2)/4)*(C14*100/C$39)*(((SIN(C$36))^2)/(C$5+C$11*C$6)^2)</f>
        <v>0.1913733346125692</v>
      </c>
      <c r="D106" s="162">
        <f t="shared" si="232"/>
        <v>0.1913733346125692</v>
      </c>
      <c r="E106" s="162">
        <f t="shared" si="232"/>
        <v>0.1913733346125692</v>
      </c>
      <c r="F106" s="162">
        <f t="shared" si="232"/>
        <v>0.1913733346125692</v>
      </c>
      <c r="G106" s="162">
        <f t="shared" si="232"/>
        <v>0.1913733346125692</v>
      </c>
      <c r="H106" s="162">
        <f t="shared" si="232"/>
        <v>0.1913733346125692</v>
      </c>
      <c r="I106" s="162">
        <f t="shared" si="232"/>
        <v>0.1913733346125692</v>
      </c>
      <c r="J106" s="162">
        <f t="shared" si="232"/>
        <v>0.1913733346125692</v>
      </c>
      <c r="K106" s="162">
        <f t="shared" si="232"/>
        <v>0.1913733346125692</v>
      </c>
      <c r="L106" s="162">
        <f t="shared" si="232"/>
        <v>0.1913733346125692</v>
      </c>
      <c r="M106" s="162">
        <f t="shared" si="232"/>
        <v>0.1913733346125692</v>
      </c>
      <c r="N106" s="162">
        <f t="shared" si="232"/>
        <v>0.1913733346125692</v>
      </c>
      <c r="O106" s="162">
        <f t="shared" si="232"/>
        <v>0.1913733346125692</v>
      </c>
      <c r="P106" s="162">
        <f t="shared" si="232"/>
        <v>0.1913733346125692</v>
      </c>
      <c r="Q106" s="162">
        <f t="shared" si="232"/>
        <v>0.1913733346125692</v>
      </c>
      <c r="R106" s="162">
        <f t="shared" si="232"/>
        <v>0.1913733346125692</v>
      </c>
      <c r="S106" s="162">
        <f t="shared" si="232"/>
        <v>0.1913733346125692</v>
      </c>
      <c r="T106" s="162">
        <f t="shared" si="232"/>
        <v>0.1913733346125692</v>
      </c>
      <c r="U106" s="162">
        <f t="shared" si="232"/>
        <v>0.1913733346125692</v>
      </c>
      <c r="V106" s="162">
        <f t="shared" si="232"/>
        <v>0.1913733346125692</v>
      </c>
      <c r="W106" s="162">
        <f t="shared" si="232"/>
        <v>0.1913733346125692</v>
      </c>
      <c r="X106" s="162">
        <f t="shared" si="232"/>
        <v>0.1913733346125692</v>
      </c>
      <c r="Y106" s="162">
        <f t="shared" si="232"/>
        <v>0.1913733346125692</v>
      </c>
      <c r="Z106" s="162">
        <f t="shared" si="232"/>
        <v>0.1913733346125692</v>
      </c>
      <c r="AA106" s="162">
        <f t="shared" si="232"/>
        <v>0.1913733346125692</v>
      </c>
      <c r="AB106" s="162">
        <f t="shared" si="232"/>
        <v>0.1913733346125692</v>
      </c>
      <c r="AC106" s="162">
        <f t="shared" si="232"/>
        <v>0.1913733346125692</v>
      </c>
      <c r="AD106" s="162">
        <f t="shared" si="232"/>
        <v>0.1913733346125692</v>
      </c>
      <c r="AE106" s="162">
        <f t="shared" si="232"/>
        <v>0.1913733346125692</v>
      </c>
      <c r="AF106" s="162">
        <f t="shared" si="232"/>
        <v>0.1913733346125692</v>
      </c>
      <c r="AG106" s="162">
        <f t="shared" si="232"/>
        <v>0.1913733346125692</v>
      </c>
      <c r="AH106" s="162">
        <f t="shared" si="232"/>
        <v>0.1913733346125692</v>
      </c>
      <c r="AI106" s="162">
        <f t="shared" ref="AI106:BN106" si="233">(AI$40/(AI$10^2))*((PI()^2)/4)*(AI14*100/AI$39)*(((SIN(AI$36))^2)/(AI$5+AI$11*AI$6)^2)</f>
        <v>0.1913733346125692</v>
      </c>
      <c r="AJ106" s="162">
        <f t="shared" si="233"/>
        <v>0.1913733346125692</v>
      </c>
      <c r="AK106" s="162">
        <f t="shared" si="233"/>
        <v>0.1913733346125692</v>
      </c>
      <c r="AL106" s="162">
        <f t="shared" si="233"/>
        <v>0.1913733346125692</v>
      </c>
      <c r="AM106" s="162">
        <f t="shared" si="233"/>
        <v>0.1913733346125692</v>
      </c>
      <c r="AN106" s="162">
        <f t="shared" si="233"/>
        <v>0.1913733346125692</v>
      </c>
      <c r="AO106" s="162">
        <f t="shared" si="233"/>
        <v>0.1913733346125692</v>
      </c>
      <c r="AP106" s="162">
        <f t="shared" si="233"/>
        <v>0.1913733346125692</v>
      </c>
      <c r="AQ106" s="162">
        <f t="shared" si="233"/>
        <v>0.1913733346125692</v>
      </c>
      <c r="AR106" s="162">
        <f t="shared" si="233"/>
        <v>0.1913733346125692</v>
      </c>
      <c r="AS106" s="162">
        <f t="shared" si="233"/>
        <v>0.1913733346125692</v>
      </c>
      <c r="AT106" s="162">
        <f t="shared" si="233"/>
        <v>0.1913733346125692</v>
      </c>
      <c r="AU106" s="162">
        <f t="shared" si="233"/>
        <v>0.1913733346125692</v>
      </c>
      <c r="AV106" s="162">
        <f t="shared" si="233"/>
        <v>0.1913733346125692</v>
      </c>
      <c r="AW106" s="162">
        <f t="shared" si="233"/>
        <v>0.1913733346125692</v>
      </c>
      <c r="AX106" s="162">
        <f t="shared" si="233"/>
        <v>0.1913733346125692</v>
      </c>
      <c r="AY106" s="162">
        <f t="shared" si="233"/>
        <v>0.1913733346125692</v>
      </c>
      <c r="AZ106" s="162">
        <f t="shared" si="233"/>
        <v>0.1913733346125692</v>
      </c>
      <c r="BA106" s="162">
        <f t="shared" si="233"/>
        <v>0.1913733346125692</v>
      </c>
      <c r="BB106" s="162">
        <f t="shared" si="233"/>
        <v>0.1913733346125692</v>
      </c>
      <c r="BC106" s="162">
        <f t="shared" si="233"/>
        <v>0.1913733346125692</v>
      </c>
      <c r="BD106" s="162">
        <f t="shared" si="233"/>
        <v>0.1913733346125692</v>
      </c>
      <c r="BE106" s="162">
        <f t="shared" si="233"/>
        <v>0.1913733346125692</v>
      </c>
      <c r="BF106" s="162">
        <f t="shared" si="233"/>
        <v>0.1913733346125692</v>
      </c>
      <c r="BG106" s="162">
        <f t="shared" si="233"/>
        <v>0.1913733346125692</v>
      </c>
      <c r="BH106" s="162">
        <f t="shared" si="233"/>
        <v>0.1913733346125692</v>
      </c>
      <c r="BI106" s="162">
        <f t="shared" si="233"/>
        <v>0.1913733346125692</v>
      </c>
      <c r="BJ106" s="162">
        <f t="shared" si="233"/>
        <v>0.1913733346125692</v>
      </c>
      <c r="BK106" s="162">
        <f t="shared" si="233"/>
        <v>0.1913733346125692</v>
      </c>
      <c r="BL106" s="162">
        <f t="shared" si="233"/>
        <v>0.1913733346125692</v>
      </c>
      <c r="BM106" s="162">
        <f t="shared" si="233"/>
        <v>0.1913733346125692</v>
      </c>
      <c r="BN106" s="162">
        <f t="shared" si="233"/>
        <v>0.1913733346125692</v>
      </c>
      <c r="BO106" s="162">
        <f t="shared" ref="BO106:CG106" si="234">(BO$40/(BO$10^2))*((PI()^2)/4)*(BO14*100/BO$39)*(((SIN(BO$36))^2)/(BO$5+BO$11*BO$6)^2)</f>
        <v>0.1913733346125692</v>
      </c>
      <c r="BP106" s="162">
        <f t="shared" si="234"/>
        <v>0.1913733346125692</v>
      </c>
      <c r="BQ106" s="162">
        <f t="shared" si="234"/>
        <v>0.1913733346125692</v>
      </c>
      <c r="BR106" s="162">
        <f t="shared" si="234"/>
        <v>0.1913733346125692</v>
      </c>
      <c r="BS106" s="162">
        <f t="shared" si="234"/>
        <v>0.1913733346125692</v>
      </c>
      <c r="BT106" s="162">
        <f t="shared" si="234"/>
        <v>0.1913733346125692</v>
      </c>
      <c r="BU106" s="162">
        <f t="shared" si="234"/>
        <v>0.1913733346125692</v>
      </c>
      <c r="BV106" s="162">
        <f t="shared" si="234"/>
        <v>0.1913733346125692</v>
      </c>
      <c r="BW106" s="162">
        <f t="shared" si="234"/>
        <v>0.1913733346125692</v>
      </c>
      <c r="BX106" s="162">
        <f t="shared" si="234"/>
        <v>0.1913733346125692</v>
      </c>
      <c r="BY106" s="162">
        <f t="shared" si="234"/>
        <v>0.1913733346125692</v>
      </c>
      <c r="BZ106" s="162">
        <f t="shared" si="234"/>
        <v>0.1913733346125692</v>
      </c>
      <c r="CA106" s="162">
        <f t="shared" si="234"/>
        <v>0.1913733346125692</v>
      </c>
      <c r="CB106" s="162">
        <f t="shared" si="234"/>
        <v>0.1913733346125692</v>
      </c>
      <c r="CC106" s="162">
        <f t="shared" si="234"/>
        <v>0.1913733346125692</v>
      </c>
      <c r="CD106" s="162">
        <f t="shared" si="234"/>
        <v>0.1913733346125692</v>
      </c>
      <c r="CE106" s="162">
        <f t="shared" si="234"/>
        <v>0.1913733346125692</v>
      </c>
      <c r="CF106" s="162">
        <f t="shared" si="234"/>
        <v>0.1913733346125692</v>
      </c>
      <c r="CG106" s="162">
        <f t="shared" si="234"/>
        <v>0.1913733346125692</v>
      </c>
      <c r="CH106" s="162"/>
    </row>
    <row r="107" spans="1:86" ht="16.5" customHeight="1">
      <c r="B107" s="162" t="s">
        <v>859</v>
      </c>
      <c r="C107" s="162">
        <f t="shared" ref="C107:AH107" si="235">(C$40/(C$10^2))*((PI()^2)/4)*(C15*100/C$39)*(((SIN(C$36))^2)/(C$5+C$11*C$6)^2)</f>
        <v>9.5686667306284598E-2</v>
      </c>
      <c r="D107" s="162">
        <f t="shared" si="235"/>
        <v>9.5686667306284598E-2</v>
      </c>
      <c r="E107" s="162">
        <f t="shared" si="235"/>
        <v>9.5686667306284598E-2</v>
      </c>
      <c r="F107" s="162">
        <f t="shared" si="235"/>
        <v>9.5686667306284598E-2</v>
      </c>
      <c r="G107" s="162">
        <f t="shared" si="235"/>
        <v>9.5686667306284598E-2</v>
      </c>
      <c r="H107" s="162">
        <f t="shared" si="235"/>
        <v>9.5686667306284598E-2</v>
      </c>
      <c r="I107" s="162">
        <f t="shared" si="235"/>
        <v>9.5686667306284598E-2</v>
      </c>
      <c r="J107" s="162">
        <f t="shared" si="235"/>
        <v>9.5686667306284598E-2</v>
      </c>
      <c r="K107" s="162">
        <f t="shared" si="235"/>
        <v>9.5686667306284598E-2</v>
      </c>
      <c r="L107" s="162">
        <f t="shared" si="235"/>
        <v>9.5686667306284598E-2</v>
      </c>
      <c r="M107" s="162">
        <f t="shared" si="235"/>
        <v>9.5686667306284598E-2</v>
      </c>
      <c r="N107" s="162">
        <f t="shared" si="235"/>
        <v>9.5686667306284598E-2</v>
      </c>
      <c r="O107" s="162">
        <f t="shared" si="235"/>
        <v>9.5686667306284598E-2</v>
      </c>
      <c r="P107" s="162">
        <f t="shared" si="235"/>
        <v>9.5686667306284598E-2</v>
      </c>
      <c r="Q107" s="162">
        <f t="shared" si="235"/>
        <v>9.5686667306284598E-2</v>
      </c>
      <c r="R107" s="162">
        <f t="shared" si="235"/>
        <v>9.5686667306284598E-2</v>
      </c>
      <c r="S107" s="162">
        <f t="shared" si="235"/>
        <v>9.5686667306284598E-2</v>
      </c>
      <c r="T107" s="162">
        <f t="shared" si="235"/>
        <v>9.5686667306284598E-2</v>
      </c>
      <c r="U107" s="162">
        <f t="shared" si="235"/>
        <v>9.5686667306284598E-2</v>
      </c>
      <c r="V107" s="162">
        <f t="shared" si="235"/>
        <v>9.5686667306284598E-2</v>
      </c>
      <c r="W107" s="162">
        <f t="shared" si="235"/>
        <v>9.5686667306284598E-2</v>
      </c>
      <c r="X107" s="162">
        <f t="shared" si="235"/>
        <v>9.5686667306284598E-2</v>
      </c>
      <c r="Y107" s="162">
        <f t="shared" si="235"/>
        <v>9.5686667306284598E-2</v>
      </c>
      <c r="Z107" s="162">
        <f t="shared" si="235"/>
        <v>9.5686667306284598E-2</v>
      </c>
      <c r="AA107" s="162">
        <f t="shared" si="235"/>
        <v>9.5686667306284598E-2</v>
      </c>
      <c r="AB107" s="162">
        <f t="shared" si="235"/>
        <v>9.5686667306284598E-2</v>
      </c>
      <c r="AC107" s="162">
        <f t="shared" si="235"/>
        <v>9.5686667306284598E-2</v>
      </c>
      <c r="AD107" s="162">
        <f t="shared" si="235"/>
        <v>9.5686667306284598E-2</v>
      </c>
      <c r="AE107" s="162">
        <f t="shared" si="235"/>
        <v>9.5686667306284598E-2</v>
      </c>
      <c r="AF107" s="162">
        <f t="shared" si="235"/>
        <v>9.5686667306284598E-2</v>
      </c>
      <c r="AG107" s="162">
        <f t="shared" si="235"/>
        <v>9.5686667306284598E-2</v>
      </c>
      <c r="AH107" s="162">
        <f t="shared" si="235"/>
        <v>9.5686667306284598E-2</v>
      </c>
      <c r="AI107" s="162">
        <f t="shared" ref="AI107:BN107" si="236">(AI$40/(AI$10^2))*((PI()^2)/4)*(AI15*100/AI$39)*(((SIN(AI$36))^2)/(AI$5+AI$11*AI$6)^2)</f>
        <v>9.5686667306284598E-2</v>
      </c>
      <c r="AJ107" s="162">
        <f t="shared" si="236"/>
        <v>9.5686667306284598E-2</v>
      </c>
      <c r="AK107" s="162">
        <f t="shared" si="236"/>
        <v>9.5686667306284598E-2</v>
      </c>
      <c r="AL107" s="162">
        <f t="shared" si="236"/>
        <v>9.5686667306284598E-2</v>
      </c>
      <c r="AM107" s="162">
        <f t="shared" si="236"/>
        <v>9.5686667306284598E-2</v>
      </c>
      <c r="AN107" s="162">
        <f t="shared" si="236"/>
        <v>9.5686667306284598E-2</v>
      </c>
      <c r="AO107" s="162">
        <f t="shared" si="236"/>
        <v>9.5686667306284598E-2</v>
      </c>
      <c r="AP107" s="162">
        <f t="shared" si="236"/>
        <v>9.5686667306284598E-2</v>
      </c>
      <c r="AQ107" s="162">
        <f t="shared" si="236"/>
        <v>9.5686667306284598E-2</v>
      </c>
      <c r="AR107" s="162">
        <f t="shared" si="236"/>
        <v>9.5686667306284598E-2</v>
      </c>
      <c r="AS107" s="162">
        <f t="shared" si="236"/>
        <v>9.5686667306284598E-2</v>
      </c>
      <c r="AT107" s="162">
        <f t="shared" si="236"/>
        <v>9.5686667306284598E-2</v>
      </c>
      <c r="AU107" s="162">
        <f t="shared" si="236"/>
        <v>9.5686667306284598E-2</v>
      </c>
      <c r="AV107" s="162">
        <f t="shared" si="236"/>
        <v>9.5686667306284598E-2</v>
      </c>
      <c r="AW107" s="162">
        <f t="shared" si="236"/>
        <v>9.5686667306284598E-2</v>
      </c>
      <c r="AX107" s="162">
        <f t="shared" si="236"/>
        <v>9.5686667306284598E-2</v>
      </c>
      <c r="AY107" s="162">
        <f t="shared" si="236"/>
        <v>9.5686667306284598E-2</v>
      </c>
      <c r="AZ107" s="162">
        <f t="shared" si="236"/>
        <v>9.5686667306284598E-2</v>
      </c>
      <c r="BA107" s="162">
        <f t="shared" si="236"/>
        <v>9.5686667306284598E-2</v>
      </c>
      <c r="BB107" s="162">
        <f t="shared" si="236"/>
        <v>9.5686667306284598E-2</v>
      </c>
      <c r="BC107" s="162">
        <f t="shared" si="236"/>
        <v>9.5686667306284598E-2</v>
      </c>
      <c r="BD107" s="162">
        <f t="shared" si="236"/>
        <v>9.5686667306284598E-2</v>
      </c>
      <c r="BE107" s="162">
        <f t="shared" si="236"/>
        <v>9.5686667306284598E-2</v>
      </c>
      <c r="BF107" s="162">
        <f t="shared" si="236"/>
        <v>9.5686667306284598E-2</v>
      </c>
      <c r="BG107" s="162">
        <f t="shared" si="236"/>
        <v>9.5686667306284598E-2</v>
      </c>
      <c r="BH107" s="162">
        <f t="shared" si="236"/>
        <v>9.5686667306284598E-2</v>
      </c>
      <c r="BI107" s="162">
        <f t="shared" si="236"/>
        <v>9.5686667306284598E-2</v>
      </c>
      <c r="BJ107" s="162">
        <f t="shared" si="236"/>
        <v>9.5686667306284598E-2</v>
      </c>
      <c r="BK107" s="162">
        <f t="shared" si="236"/>
        <v>9.5686667306284598E-2</v>
      </c>
      <c r="BL107" s="162">
        <f t="shared" si="236"/>
        <v>9.5686667306284598E-2</v>
      </c>
      <c r="BM107" s="162">
        <f t="shared" si="236"/>
        <v>9.5686667306284598E-2</v>
      </c>
      <c r="BN107" s="162">
        <f t="shared" si="236"/>
        <v>9.5686667306284598E-2</v>
      </c>
      <c r="BO107" s="162">
        <f t="shared" ref="BO107:CG107" si="237">(BO$40/(BO$10^2))*((PI()^2)/4)*(BO15*100/BO$39)*(((SIN(BO$36))^2)/(BO$5+BO$11*BO$6)^2)</f>
        <v>9.5686667306284598E-2</v>
      </c>
      <c r="BP107" s="162">
        <f t="shared" si="237"/>
        <v>9.5686667306284598E-2</v>
      </c>
      <c r="BQ107" s="162">
        <f t="shared" si="237"/>
        <v>9.5686667306284598E-2</v>
      </c>
      <c r="BR107" s="162">
        <f t="shared" si="237"/>
        <v>9.5686667306284598E-2</v>
      </c>
      <c r="BS107" s="162">
        <f t="shared" si="237"/>
        <v>9.5686667306284598E-2</v>
      </c>
      <c r="BT107" s="162">
        <f t="shared" si="237"/>
        <v>9.5686667306284598E-2</v>
      </c>
      <c r="BU107" s="162">
        <f t="shared" si="237"/>
        <v>9.5686667306284598E-2</v>
      </c>
      <c r="BV107" s="162">
        <f t="shared" si="237"/>
        <v>9.5686667306284598E-2</v>
      </c>
      <c r="BW107" s="162">
        <f t="shared" si="237"/>
        <v>9.5686667306284598E-2</v>
      </c>
      <c r="BX107" s="162">
        <f t="shared" si="237"/>
        <v>9.5686667306284598E-2</v>
      </c>
      <c r="BY107" s="162">
        <f t="shared" si="237"/>
        <v>9.5686667306284598E-2</v>
      </c>
      <c r="BZ107" s="162">
        <f t="shared" si="237"/>
        <v>9.5686667306284598E-2</v>
      </c>
      <c r="CA107" s="162">
        <f t="shared" si="237"/>
        <v>9.5686667306284598E-2</v>
      </c>
      <c r="CB107" s="162">
        <f t="shared" si="237"/>
        <v>9.5686667306284598E-2</v>
      </c>
      <c r="CC107" s="162">
        <f t="shared" si="237"/>
        <v>9.5686667306284598E-2</v>
      </c>
      <c r="CD107" s="162">
        <f t="shared" si="237"/>
        <v>9.5686667306284598E-2</v>
      </c>
      <c r="CE107" s="162">
        <f t="shared" si="237"/>
        <v>9.5686667306284598E-2</v>
      </c>
      <c r="CF107" s="162">
        <f t="shared" si="237"/>
        <v>9.5686667306284598E-2</v>
      </c>
      <c r="CG107" s="162">
        <f t="shared" si="237"/>
        <v>9.5686667306284598E-2</v>
      </c>
      <c r="CH107" s="162"/>
    </row>
    <row r="108" spans="1:86" ht="16.5" customHeight="1">
      <c r="B108" s="162" t="s">
        <v>860</v>
      </c>
      <c r="C108" s="162">
        <f t="shared" ref="C108:AH108" si="238">1/((1+(C$23*(1-(1/(C$25^2)))))^2+(C104*(C$25-(1/C$25)))^2)^0.5</f>
        <v>1.8181818650189341E-8</v>
      </c>
      <c r="D108" s="162">
        <f t="shared" si="238"/>
        <v>4.5840686871758372E-4</v>
      </c>
      <c r="E108" s="162">
        <f t="shared" si="238"/>
        <v>1.6805267165416486E-3</v>
      </c>
      <c r="F108" s="162">
        <f t="shared" si="238"/>
        <v>3.6778048016004087E-3</v>
      </c>
      <c r="G108" s="162">
        <f t="shared" si="238"/>
        <v>6.4633683645391815E-3</v>
      </c>
      <c r="H108" s="162">
        <f t="shared" si="238"/>
        <v>1.0055703112093996E-2</v>
      </c>
      <c r="I108" s="162">
        <f t="shared" si="238"/>
        <v>1.4478954763366476E-2</v>
      </c>
      <c r="J108" s="162">
        <f t="shared" si="238"/>
        <v>1.9763329584625074E-2</v>
      </c>
      <c r="K108" s="162">
        <f t="shared" si="238"/>
        <v>2.5945605913297972E-2</v>
      </c>
      <c r="L108" s="162">
        <f t="shared" si="238"/>
        <v>3.3069772363104391E-2</v>
      </c>
      <c r="M108" s="162">
        <f t="shared" si="238"/>
        <v>4.118781283153191E-2</v>
      </c>
      <c r="N108" s="162">
        <f t="shared" si="238"/>
        <v>5.0360663831663134E-2</v>
      </c>
      <c r="O108" s="162">
        <f t="shared" si="238"/>
        <v>6.0659376339034607E-2</v>
      </c>
      <c r="P108" s="162">
        <f t="shared" si="238"/>
        <v>7.2166522660376417E-2</v>
      </c>
      <c r="Q108" s="162">
        <f t="shared" si="238"/>
        <v>8.4977899283862027E-2</v>
      </c>
      <c r="R108" s="162">
        <f t="shared" si="238"/>
        <v>9.920458989196794E-2</v>
      </c>
      <c r="S108" s="162">
        <f t="shared" si="238"/>
        <v>0.1149754695249008</v>
      </c>
      <c r="T108" s="162">
        <f t="shared" si="238"/>
        <v>0.13244025232619219</v>
      </c>
      <c r="U108" s="162">
        <f t="shared" si="238"/>
        <v>0.15177321272464672</v>
      </c>
      <c r="V108" s="162">
        <f t="shared" si="238"/>
        <v>0.17317774499488978</v>
      </c>
      <c r="W108" s="162">
        <f t="shared" si="238"/>
        <v>0.19689197095287031</v>
      </c>
      <c r="X108" s="162">
        <f t="shared" si="238"/>
        <v>0.22319566247400879</v>
      </c>
      <c r="Y108" s="162">
        <f t="shared" si="238"/>
        <v>0.25241881706906449</v>
      </c>
      <c r="Z108" s="162">
        <f t="shared" si="238"/>
        <v>0.28495231289617062</v>
      </c>
      <c r="AA108" s="162">
        <f t="shared" si="238"/>
        <v>0.32126117429336976</v>
      </c>
      <c r="AB108" s="162">
        <f t="shared" si="238"/>
        <v>0.36190109481976013</v>
      </c>
      <c r="AC108" s="162">
        <f t="shared" si="238"/>
        <v>0.40753897410240258</v>
      </c>
      <c r="AD108" s="162">
        <f t="shared" si="238"/>
        <v>0.45897828241116134</v>
      </c>
      <c r="AE108" s="162">
        <f t="shared" si="238"/>
        <v>0.51718996968793496</v>
      </c>
      <c r="AF108" s="162">
        <f t="shared" si="238"/>
        <v>0.5833491596157625</v>
      </c>
      <c r="AG108" s="162">
        <f t="shared" si="238"/>
        <v>0.65887654190869349</v>
      </c>
      <c r="AH108" s="162">
        <f t="shared" si="238"/>
        <v>0.74548022513366785</v>
      </c>
      <c r="AI108" s="162">
        <f t="shared" ref="AI108:BN108" si="239">1/((1+(AI$23*(1-(1/(AI$25^2)))))^2+(AI104*(AI$25-(1/AI$25)))^2)^0.5</f>
        <v>0.84518688802202069</v>
      </c>
      <c r="AJ108" s="162">
        <f t="shared" si="239"/>
        <v>0.96033660985440061</v>
      </c>
      <c r="AK108" s="162">
        <f t="shared" si="239"/>
        <v>1.0934870420322842</v>
      </c>
      <c r="AL108" s="162">
        <f t="shared" si="239"/>
        <v>1.2471194244471995</v>
      </c>
      <c r="AM108" s="162">
        <f t="shared" si="239"/>
        <v>1.4229527313694992</v>
      </c>
      <c r="AN108" s="162">
        <f t="shared" si="239"/>
        <v>1.6205722182521185</v>
      </c>
      <c r="AO108" s="162">
        <f t="shared" si="239"/>
        <v>1.8350940556187971</v>
      </c>
      <c r="AP108" s="162">
        <f t="shared" si="239"/>
        <v>2.0541042470596067</v>
      </c>
      <c r="AQ108" s="162">
        <f t="shared" si="239"/>
        <v>2.2556900747479451</v>
      </c>
      <c r="AR108" s="162">
        <f t="shared" si="239"/>
        <v>2.4114726190107914</v>
      </c>
      <c r="AS108" s="162">
        <f t="shared" si="239"/>
        <v>2.492431200683237</v>
      </c>
      <c r="AT108" s="162">
        <f t="shared" si="239"/>
        <v>2.5077143458320568</v>
      </c>
      <c r="AU108" s="162">
        <f t="shared" si="239"/>
        <v>2.4557070906709857</v>
      </c>
      <c r="AV108" s="162">
        <f t="shared" si="239"/>
        <v>2.3587479329276242</v>
      </c>
      <c r="AW108" s="162">
        <f t="shared" si="239"/>
        <v>2.2394919913488485</v>
      </c>
      <c r="AX108" s="162">
        <f t="shared" si="239"/>
        <v>2.1145381110033368</v>
      </c>
      <c r="AY108" s="162">
        <f t="shared" si="239"/>
        <v>1.9936912999610932</v>
      </c>
      <c r="AZ108" s="162">
        <f t="shared" si="239"/>
        <v>1.8817160454773347</v>
      </c>
      <c r="BA108" s="162">
        <f t="shared" si="239"/>
        <v>1.7803116344359531</v>
      </c>
      <c r="BB108" s="162">
        <f t="shared" si="239"/>
        <v>1.6895426577937451</v>
      </c>
      <c r="BC108" s="162">
        <f t="shared" si="239"/>
        <v>1.6087048347459854</v>
      </c>
      <c r="BD108" s="162">
        <f t="shared" si="239"/>
        <v>1.5367986224726884</v>
      </c>
      <c r="BE108" s="162">
        <f t="shared" si="239"/>
        <v>1.4727691980209914</v>
      </c>
      <c r="BF108" s="162">
        <f t="shared" si="239"/>
        <v>1.4156179811292442</v>
      </c>
      <c r="BG108" s="162">
        <f t="shared" si="239"/>
        <v>1.3644471601966837</v>
      </c>
      <c r="BH108" s="162">
        <f t="shared" si="239"/>
        <v>1.3184709374407921</v>
      </c>
      <c r="BI108" s="162">
        <f t="shared" si="239"/>
        <v>1.2770112947302708</v>
      </c>
      <c r="BJ108" s="162">
        <f t="shared" si="239"/>
        <v>1.2394873966388507</v>
      </c>
      <c r="BK108" s="162">
        <f t="shared" si="239"/>
        <v>1.2054031390735622</v>
      </c>
      <c r="BL108" s="162">
        <f t="shared" si="239"/>
        <v>1.174334954868238</v>
      </c>
      <c r="BM108" s="162">
        <f t="shared" si="239"/>
        <v>1.1459207656286929</v>
      </c>
      <c r="BN108" s="162">
        <f t="shared" si="239"/>
        <v>1.119850363196401</v>
      </c>
      <c r="BO108" s="162">
        <f t="shared" ref="BO108:CG108" si="240">1/((1+(BO$23*(1-(1/(BO$25^2)))))^2+(BO104*(BO$25-(1/BO$25)))^2)^0.5</f>
        <v>1.0958572176728973</v>
      </c>
      <c r="BP108" s="162">
        <f t="shared" si="240"/>
        <v>1.0737115857325432</v>
      </c>
      <c r="BQ108" s="162">
        <f t="shared" si="240"/>
        <v>1.0532147511188814</v>
      </c>
      <c r="BR108" s="162">
        <f t="shared" si="240"/>
        <v>1.0341942262453798</v>
      </c>
      <c r="BS108" s="162">
        <f t="shared" si="240"/>
        <v>1.0164997578775112</v>
      </c>
      <c r="BT108" s="162">
        <f t="shared" si="240"/>
        <v>1</v>
      </c>
      <c r="BU108" s="162">
        <f t="shared" si="240"/>
        <v>0.91510698626199538</v>
      </c>
      <c r="BV108" s="162">
        <f t="shared" si="240"/>
        <v>0.85610841584561337</v>
      </c>
      <c r="BW108" s="162">
        <f t="shared" si="240"/>
        <v>0.81252010693316412</v>
      </c>
      <c r="BX108" s="162">
        <f t="shared" si="240"/>
        <v>0.7787367231620731</v>
      </c>
      <c r="BY108" s="162">
        <f t="shared" si="240"/>
        <v>0.75151634906667053</v>
      </c>
      <c r="BZ108" s="162">
        <f t="shared" si="240"/>
        <v>0.72886681138606402</v>
      </c>
      <c r="CA108" s="162">
        <f t="shared" si="240"/>
        <v>0.70950413128758338</v>
      </c>
      <c r="CB108" s="162">
        <f t="shared" si="240"/>
        <v>0.69256857126960825</v>
      </c>
      <c r="CC108" s="162">
        <f t="shared" si="240"/>
        <v>0.67746632421161612</v>
      </c>
      <c r="CD108" s="162">
        <f t="shared" si="240"/>
        <v>0.66377665583003265</v>
      </c>
      <c r="CE108" s="162">
        <f t="shared" si="240"/>
        <v>0.65119506975385066</v>
      </c>
      <c r="CF108" s="162">
        <f t="shared" si="240"/>
        <v>0.63949723943494974</v>
      </c>
      <c r="CG108" s="162">
        <f t="shared" si="240"/>
        <v>0.62851539688113345</v>
      </c>
      <c r="CH108" s="162"/>
    </row>
    <row r="109" spans="1:86" ht="16.5" customHeight="1">
      <c r="B109" s="162" t="s">
        <v>861</v>
      </c>
      <c r="C109" s="162">
        <f t="shared" ref="C109:AH109" si="241">1/((1+(C$23*(1-(1/(C$25^2)))))^2+(C105*(C$25-(1/C$25)))^2)^0.5</f>
        <v>1.8181818669450516E-8</v>
      </c>
      <c r="D109" s="162">
        <f t="shared" si="241"/>
        <v>4.5841911462410763E-4</v>
      </c>
      <c r="E109" s="162">
        <f t="shared" si="241"/>
        <v>1.6806913789099904E-3</v>
      </c>
      <c r="F109" s="162">
        <f t="shared" si="241"/>
        <v>3.6785940842671843E-3</v>
      </c>
      <c r="G109" s="162">
        <f t="shared" si="241"/>
        <v>6.465808786115094E-3</v>
      </c>
      <c r="H109" s="162">
        <f t="shared" si="241"/>
        <v>1.0061618843107148E-2</v>
      </c>
      <c r="I109" s="162">
        <f t="shared" si="241"/>
        <v>1.449124174000041E-2</v>
      </c>
      <c r="J109" s="162">
        <f t="shared" si="241"/>
        <v>1.9786271826957639E-2</v>
      </c>
      <c r="K109" s="162">
        <f t="shared" si="241"/>
        <v>2.5985247878053362E-2</v>
      </c>
      <c r="L109" s="162">
        <f t="shared" si="241"/>
        <v>3.3134364452129417E-2</v>
      </c>
      <c r="M109" s="162">
        <f t="shared" si="241"/>
        <v>4.1288351631832136E-2</v>
      </c>
      <c r="N109" s="162">
        <f t="shared" si="241"/>
        <v>5.051155466730764E-2</v>
      </c>
      <c r="O109" s="162">
        <f t="shared" si="241"/>
        <v>6.0879253813609285E-2</v>
      </c>
      <c r="P109" s="162">
        <f t="shared" si="241"/>
        <v>7.2479275829660489E-2</v>
      </c>
      <c r="Q109" s="162">
        <f t="shared" si="241"/>
        <v>8.5413963014721789E-2</v>
      </c>
      <c r="R109" s="162">
        <f t="shared" si="241"/>
        <v>9.9802584399986752E-2</v>
      </c>
      <c r="S109" s="162">
        <f t="shared" si="241"/>
        <v>0.11578429830018343</v>
      </c>
      <c r="T109" s="162">
        <f t="shared" si="241"/>
        <v>0.13352180794871055</v>
      </c>
      <c r="U109" s="162">
        <f t="shared" si="241"/>
        <v>0.15320589528693637</v>
      </c>
      <c r="V109" s="162">
        <f t="shared" si="241"/>
        <v>0.17506107620208197</v>
      </c>
      <c r="W109" s="162">
        <f t="shared" si="241"/>
        <v>0.19935269929415683</v>
      </c>
      <c r="X109" s="162">
        <f t="shared" si="241"/>
        <v>0.22639591761427988</v>
      </c>
      <c r="Y109" s="162">
        <f t="shared" si="241"/>
        <v>0.25656711006270283</v>
      </c>
      <c r="Z109" s="162">
        <f t="shared" si="241"/>
        <v>0.29031853218097442</v>
      </c>
      <c r="AA109" s="162">
        <f t="shared" si="241"/>
        <v>0.3281972571179127</v>
      </c>
      <c r="AB109" s="162">
        <f t="shared" si="241"/>
        <v>0.37086985692365887</v>
      </c>
      <c r="AC109" s="162">
        <f t="shared" si="241"/>
        <v>0.41915481170872526</v>
      </c>
      <c r="AD109" s="162">
        <f t="shared" si="241"/>
        <v>0.47406536672309313</v>
      </c>
      <c r="AE109" s="162">
        <f t="shared" si="241"/>
        <v>0.53686652771268917</v>
      </c>
      <c r="AF109" s="162">
        <f t="shared" si="241"/>
        <v>0.6091510908333041</v>
      </c>
      <c r="AG109" s="162">
        <f t="shared" si="241"/>
        <v>0.6929408813012593</v>
      </c>
      <c r="AH109" s="162">
        <f t="shared" si="241"/>
        <v>0.7908200827570715</v>
      </c>
      <c r="AI109" s="162">
        <f t="shared" ref="AI109:BN109" si="242">1/((1+(AI$23*(1-(1/(AI$25^2)))))^2+(AI105*(AI$25-(1/AI$25)))^2)^0.5</f>
        <v>0.90610572078123597</v>
      </c>
      <c r="AJ109" s="162">
        <f t="shared" si="242"/>
        <v>1.0430505878468732</v>
      </c>
      <c r="AK109" s="162">
        <f t="shared" si="242"/>
        <v>1.2070418097483138</v>
      </c>
      <c r="AL109" s="162">
        <f t="shared" si="242"/>
        <v>1.4046675851337778</v>
      </c>
      <c r="AM109" s="162">
        <f t="shared" si="242"/>
        <v>1.6432904210338939</v>
      </c>
      <c r="AN109" s="162">
        <f t="shared" si="242"/>
        <v>1.9292224963543634</v>
      </c>
      <c r="AO109" s="162">
        <f t="shared" si="242"/>
        <v>2.262603108195012</v>
      </c>
      <c r="AP109" s="162">
        <f t="shared" si="242"/>
        <v>2.6264031537951822</v>
      </c>
      <c r="AQ109" s="162">
        <f t="shared" si="242"/>
        <v>2.9712764184894342</v>
      </c>
      <c r="AR109" s="162">
        <f t="shared" si="242"/>
        <v>3.2152948550946365</v>
      </c>
      <c r="AS109" s="162">
        <f t="shared" si="242"/>
        <v>3.2892613264822557</v>
      </c>
      <c r="AT109" s="162">
        <f t="shared" si="242"/>
        <v>3.2061875320716475</v>
      </c>
      <c r="AU109" s="162">
        <f t="shared" si="242"/>
        <v>3.0105831051565883</v>
      </c>
      <c r="AV109" s="162">
        <f t="shared" si="242"/>
        <v>2.7737848778132261</v>
      </c>
      <c r="AW109" s="162">
        <f t="shared" si="242"/>
        <v>2.5409792475501445</v>
      </c>
      <c r="AX109" s="162">
        <f t="shared" si="242"/>
        <v>2.3315078637418498</v>
      </c>
      <c r="AY109" s="162">
        <f t="shared" si="242"/>
        <v>2.1501019855651138</v>
      </c>
      <c r="AZ109" s="162">
        <f t="shared" si="242"/>
        <v>1.9952556012203186</v>
      </c>
      <c r="BA109" s="162">
        <f t="shared" si="242"/>
        <v>1.863458190048302</v>
      </c>
      <c r="BB109" s="162">
        <f t="shared" si="242"/>
        <v>1.7509671216993148</v>
      </c>
      <c r="BC109" s="162">
        <f t="shared" si="242"/>
        <v>1.6544326177035653</v>
      </c>
      <c r="BD109" s="162">
        <f t="shared" si="242"/>
        <v>1.5710489111136217</v>
      </c>
      <c r="BE109" s="162">
        <f t="shared" si="242"/>
        <v>1.4985301486181282</v>
      </c>
      <c r="BF109" s="162">
        <f t="shared" si="242"/>
        <v>1.4350334942117198</v>
      </c>
      <c r="BG109" s="162">
        <f t="shared" si="242"/>
        <v>1.3790761616350358</v>
      </c>
      <c r="BH109" s="162">
        <f t="shared" si="242"/>
        <v>1.3294620744320198</v>
      </c>
      <c r="BI109" s="162">
        <f t="shared" si="242"/>
        <v>1.285221736328882</v>
      </c>
      <c r="BJ109" s="162">
        <f t="shared" si="242"/>
        <v>1.245564545391604</v>
      </c>
      <c r="BK109" s="162">
        <f t="shared" si="242"/>
        <v>1.2098415257235471</v>
      </c>
      <c r="BL109" s="162">
        <f t="shared" si="242"/>
        <v>1.1775163508876176</v>
      </c>
      <c r="BM109" s="162">
        <f t="shared" si="242"/>
        <v>1.1481428142686609</v>
      </c>
      <c r="BN109" s="162">
        <f t="shared" si="242"/>
        <v>1.1213472607209156</v>
      </c>
      <c r="BO109" s="162">
        <f t="shared" ref="BO109:CG109" si="243">1/((1+(BO$23*(1-(1/(BO$25^2)))))^2+(BO105*(BO$25-(1/BO$25)))^2)^0.5</f>
        <v>1.0968148238685866</v>
      </c>
      <c r="BP109" s="162">
        <f t="shared" si="243"/>
        <v>1.0742785848825671</v>
      </c>
      <c r="BQ109" s="162">
        <f t="shared" si="243"/>
        <v>1.0535109810182963</v>
      </c>
      <c r="BR109" s="162">
        <f t="shared" si="243"/>
        <v>1.0343169544980286</v>
      </c>
      <c r="BS109" s="162">
        <f t="shared" si="243"/>
        <v>1.0165284548616988</v>
      </c>
      <c r="BT109" s="162">
        <f t="shared" si="243"/>
        <v>1</v>
      </c>
      <c r="BU109" s="162">
        <f t="shared" si="243"/>
        <v>0.91590561373915391</v>
      </c>
      <c r="BV109" s="162">
        <f t="shared" si="243"/>
        <v>0.85853697369544335</v>
      </c>
      <c r="BW109" s="162">
        <f t="shared" si="243"/>
        <v>0.81689997097781397</v>
      </c>
      <c r="BX109" s="162">
        <f t="shared" si="243"/>
        <v>0.78521521319455345</v>
      </c>
      <c r="BY109" s="162">
        <f t="shared" si="243"/>
        <v>0.76017157492165166</v>
      </c>
      <c r="BZ109" s="162">
        <f t="shared" si="243"/>
        <v>0.73974465510516207</v>
      </c>
      <c r="CA109" s="162">
        <f t="shared" si="243"/>
        <v>0.72263245286886435</v>
      </c>
      <c r="CB109" s="162">
        <f t="shared" si="243"/>
        <v>0.70796303282269524</v>
      </c>
      <c r="CC109" s="162">
        <f t="shared" si="243"/>
        <v>0.69513294251613544</v>
      </c>
      <c r="CD109" s="162">
        <f t="shared" si="243"/>
        <v>0.68371304329267513</v>
      </c>
      <c r="CE109" s="162">
        <f t="shared" si="243"/>
        <v>0.6733911564358056</v>
      </c>
      <c r="CF109" s="162">
        <f t="shared" si="243"/>
        <v>0.66393580578794487</v>
      </c>
      <c r="CG109" s="162">
        <f t="shared" si="243"/>
        <v>0.65517255357830084</v>
      </c>
      <c r="CH109" s="162"/>
    </row>
    <row r="110" spans="1:86" ht="16.5" customHeight="1">
      <c r="B110" s="162" t="s">
        <v>862</v>
      </c>
      <c r="C110" s="162">
        <f t="shared" ref="C110:AH110" si="244">1/((1+(C$23*(1-(1/(C$25^2)))))^2+(C106*(C$25-(1/C$25)))^2)^0.5</f>
        <v>1.8181818683208502E-8</v>
      </c>
      <c r="D110" s="162">
        <f t="shared" si="244"/>
        <v>4.5842786230108592E-4</v>
      </c>
      <c r="E110" s="162">
        <f t="shared" si="244"/>
        <v>1.680809024525765E-3</v>
      </c>
      <c r="F110" s="162">
        <f t="shared" si="244"/>
        <v>3.6791581688187568E-3</v>
      </c>
      <c r="G110" s="162">
        <f t="shared" si="244"/>
        <v>6.4675536378133421E-3</v>
      </c>
      <c r="H110" s="162">
        <f t="shared" si="244"/>
        <v>1.0065850763201874E-2</v>
      </c>
      <c r="I110" s="162">
        <f t="shared" si="244"/>
        <v>1.4500037328024774E-2</v>
      </c>
      <c r="J110" s="162">
        <f t="shared" si="244"/>
        <v>1.9802708146396588E-2</v>
      </c>
      <c r="K110" s="162">
        <f t="shared" si="244"/>
        <v>2.6013675074983436E-2</v>
      </c>
      <c r="L110" s="162">
        <f t="shared" si="244"/>
        <v>3.3180734075906049E-2</v>
      </c>
      <c r="M110" s="162">
        <f t="shared" si="244"/>
        <v>4.1360617503397396E-2</v>
      </c>
      <c r="N110" s="162">
        <f t="shared" si="244"/>
        <v>5.0620168032037977E-2</v>
      </c>
      <c r="O110" s="162">
        <f t="shared" si="244"/>
        <v>6.1037781179607425E-2</v>
      </c>
      <c r="P110" s="162">
        <f t="shared" si="244"/>
        <v>7.2705177014256245E-2</v>
      </c>
      <c r="Q110" s="162">
        <f t="shared" si="244"/>
        <v>8.5729579492030902E-2</v>
      </c>
      <c r="R110" s="162">
        <f t="shared" si="244"/>
        <v>0.1002364055054049</v>
      </c>
      <c r="S110" s="162">
        <f t="shared" si="244"/>
        <v>0.11637259733355854</v>
      </c>
      <c r="T110" s="162">
        <f t="shared" si="244"/>
        <v>0.13431077490305471</v>
      </c>
      <c r="U110" s="162">
        <f t="shared" si="244"/>
        <v>0.15425444261028617</v>
      </c>
      <c r="V110" s="162">
        <f t="shared" si="244"/>
        <v>0.17644456601591874</v>
      </c>
      <c r="W110" s="162">
        <f t="shared" si="244"/>
        <v>0.20116794623378534</v>
      </c>
      <c r="X110" s="162">
        <f t="shared" si="244"/>
        <v>0.22876797887303377</v>
      </c>
      <c r="Y110" s="162">
        <f t="shared" si="244"/>
        <v>0.25965861205011592</v>
      </c>
      <c r="Z110" s="162">
        <f t="shared" si="244"/>
        <v>0.29434264824747569</v>
      </c>
      <c r="AA110" s="162">
        <f t="shared" si="244"/>
        <v>0.33343602066797312</v>
      </c>
      <c r="AB110" s="162">
        <f t="shared" si="244"/>
        <v>0.37770040012286643</v>
      </c>
      <c r="AC110" s="162">
        <f t="shared" si="244"/>
        <v>0.42808758812965353</v>
      </c>
      <c r="AD110" s="162">
        <f t="shared" si="244"/>
        <v>0.48580084509958088</v>
      </c>
      <c r="AE110" s="162">
        <f t="shared" si="244"/>
        <v>0.55238095042019719</v>
      </c>
      <c r="AF110" s="162">
        <f t="shared" si="244"/>
        <v>0.62982899295871209</v>
      </c>
      <c r="AG110" s="162">
        <f t="shared" si="244"/>
        <v>0.7207846380132269</v>
      </c>
      <c r="AH110" s="162">
        <f t="shared" si="244"/>
        <v>0.82878951781540189</v>
      </c>
      <c r="AI110" s="162">
        <f t="shared" ref="AI110:BN110" si="245">1/((1+(AI$23*(1-(1/(AI$25^2)))))^2+(AI106*(AI$25-(1/AI$25)))^2)^0.5</f>
        <v>0.95868287624738091</v>
      </c>
      <c r="AJ110" s="162">
        <f t="shared" si="245"/>
        <v>1.1172035613630933</v>
      </c>
      <c r="AK110" s="162">
        <f t="shared" si="245"/>
        <v>1.3139088747558167</v>
      </c>
      <c r="AL110" s="162">
        <f t="shared" si="245"/>
        <v>1.5625468158225397</v>
      </c>
      <c r="AM110" s="162">
        <f t="shared" si="245"/>
        <v>1.8829210089431268</v>
      </c>
      <c r="AN110" s="162">
        <f t="shared" si="245"/>
        <v>2.3025623080152298</v>
      </c>
      <c r="AO110" s="162">
        <f t="shared" si="245"/>
        <v>2.8541702653543934</v>
      </c>
      <c r="AP110" s="162">
        <f t="shared" si="245"/>
        <v>3.5526467080629658</v>
      </c>
      <c r="AQ110" s="162">
        <f t="shared" si="245"/>
        <v>4.3115406961507627</v>
      </c>
      <c r="AR110" s="162">
        <f t="shared" si="245"/>
        <v>4.8229338387300986</v>
      </c>
      <c r="AS110" s="162">
        <f t="shared" si="245"/>
        <v>4.7964520664936154</v>
      </c>
      <c r="AT110" s="162">
        <f t="shared" si="245"/>
        <v>4.3363030058264229</v>
      </c>
      <c r="AU110" s="162">
        <f t="shared" si="245"/>
        <v>3.761051765867053</v>
      </c>
      <c r="AV110" s="162">
        <f t="shared" si="245"/>
        <v>3.2542381457402421</v>
      </c>
      <c r="AW110" s="162">
        <f t="shared" si="245"/>
        <v>2.8502939538269425</v>
      </c>
      <c r="AX110" s="162">
        <f t="shared" si="245"/>
        <v>2.5350026268065511</v>
      </c>
      <c r="AY110" s="162">
        <f t="shared" si="245"/>
        <v>2.2874354250099755</v>
      </c>
      <c r="AZ110" s="162">
        <f t="shared" si="245"/>
        <v>2.0902162845493502</v>
      </c>
      <c r="BA110" s="162">
        <f t="shared" si="245"/>
        <v>1.930528731418979</v>
      </c>
      <c r="BB110" s="162">
        <f t="shared" si="245"/>
        <v>1.7991843520165933</v>
      </c>
      <c r="BC110" s="162">
        <f t="shared" si="245"/>
        <v>1.6895909748234033</v>
      </c>
      <c r="BD110" s="162">
        <f t="shared" si="245"/>
        <v>1.5969647697404956</v>
      </c>
      <c r="BE110" s="162">
        <f t="shared" si="245"/>
        <v>1.5177811362128255</v>
      </c>
      <c r="BF110" s="162">
        <f t="shared" si="245"/>
        <v>1.4494012642991574</v>
      </c>
      <c r="BG110" s="162">
        <f t="shared" si="245"/>
        <v>1.3898183191865823</v>
      </c>
      <c r="BH110" s="162">
        <f t="shared" si="245"/>
        <v>1.3374833436664624</v>
      </c>
      <c r="BI110" s="162">
        <f t="shared" si="245"/>
        <v>1.2911842552749473</v>
      </c>
      <c r="BJ110" s="162">
        <f t="shared" si="245"/>
        <v>1.2499605052668783</v>
      </c>
      <c r="BK110" s="162">
        <f t="shared" si="245"/>
        <v>1.2130419880936867</v>
      </c>
      <c r="BL110" s="162">
        <f t="shared" si="245"/>
        <v>1.1798046725715103</v>
      </c>
      <c r="BM110" s="162">
        <f t="shared" si="245"/>
        <v>1.1497379293773902</v>
      </c>
      <c r="BN110" s="162">
        <f t="shared" si="245"/>
        <v>1.1224201558517746</v>
      </c>
      <c r="BO110" s="162">
        <f t="shared" ref="BO110:CG110" si="246">1/((1+(BO$23*(1-(1/(BO$25^2)))))^2+(BO106*(BO$25-(1/BO$25)))^2)^0.5</f>
        <v>1.0975003673168644</v>
      </c>
      <c r="BP110" s="162">
        <f t="shared" si="246"/>
        <v>1.0746841346688487</v>
      </c>
      <c r="BQ110" s="162">
        <f t="shared" si="246"/>
        <v>1.0537227269029805</v>
      </c>
      <c r="BR110" s="162">
        <f t="shared" si="246"/>
        <v>1.034404644291067</v>
      </c>
      <c r="BS110" s="162">
        <f t="shared" si="246"/>
        <v>1.0165489541956412</v>
      </c>
      <c r="BT110" s="162">
        <f t="shared" si="246"/>
        <v>1</v>
      </c>
      <c r="BU110" s="162">
        <f t="shared" si="246"/>
        <v>0.91647734379833512</v>
      </c>
      <c r="BV110" s="162">
        <f t="shared" si="246"/>
        <v>0.86028436642826533</v>
      </c>
      <c r="BW110" s="162">
        <f t="shared" si="246"/>
        <v>0.82007216894251167</v>
      </c>
      <c r="BX110" s="162">
        <f t="shared" si="246"/>
        <v>0.78994297027907479</v>
      </c>
      <c r="BY110" s="162">
        <f t="shared" si="246"/>
        <v>0.76654024129150122</v>
      </c>
      <c r="BZ110" s="162">
        <f t="shared" si="246"/>
        <v>0.74781967048169329</v>
      </c>
      <c r="CA110" s="162">
        <f t="shared" si="246"/>
        <v>0.73246896067819267</v>
      </c>
      <c r="CB110" s="162">
        <f t="shared" si="246"/>
        <v>0.71960964313210452</v>
      </c>
      <c r="CC110" s="162">
        <f t="shared" si="246"/>
        <v>0.70863319695382398</v>
      </c>
      <c r="CD110" s="162">
        <f t="shared" si="246"/>
        <v>0.69910594845089125</v>
      </c>
      <c r="CE110" s="162">
        <f t="shared" si="246"/>
        <v>0.69071134339154283</v>
      </c>
      <c r="CF110" s="162">
        <f t="shared" si="246"/>
        <v>0.68321355228677327</v>
      </c>
      <c r="CG110" s="162">
        <f t="shared" si="246"/>
        <v>0.67643377084181289</v>
      </c>
      <c r="CH110" s="162"/>
    </row>
    <row r="111" spans="1:86" ht="16.5" customHeight="1">
      <c r="B111" s="162" t="s">
        <v>863</v>
      </c>
      <c r="C111" s="162">
        <f t="shared" ref="C111:AH111" si="247">1/((1+(C$23*(1-(1/(C$25^2)))))^2+(C107*(C$25-(1/C$25)))^2)^0.5</f>
        <v>1.8181818691463291E-8</v>
      </c>
      <c r="D111" s="162">
        <f t="shared" si="247"/>
        <v>4.5843311114765185E-4</v>
      </c>
      <c r="E111" s="162">
        <f t="shared" si="247"/>
        <v>1.6808796237547346E-3</v>
      </c>
      <c r="F111" s="162">
        <f t="shared" si="247"/>
        <v>3.6794967441324288E-3</v>
      </c>
      <c r="G111" s="162">
        <f t="shared" si="247"/>
        <v>6.4686012271184716E-3</v>
      </c>
      <c r="H111" s="162">
        <f t="shared" si="247"/>
        <v>1.0068392479820526E-2</v>
      </c>
      <c r="I111" s="162">
        <f t="shared" si="247"/>
        <v>1.4505322374592762E-2</v>
      </c>
      <c r="J111" s="162">
        <f t="shared" si="247"/>
        <v>1.981258962095429E-2</v>
      </c>
      <c r="K111" s="162">
        <f t="shared" si="247"/>
        <v>2.6030776240581172E-2</v>
      </c>
      <c r="L111" s="162">
        <f t="shared" si="247"/>
        <v>3.3208649468768892E-2</v>
      </c>
      <c r="M111" s="162">
        <f t="shared" si="247"/>
        <v>4.1404159590765523E-2</v>
      </c>
      <c r="N111" s="162">
        <f t="shared" si="247"/>
        <v>5.0685673326736208E-2</v>
      </c>
      <c r="O111" s="162">
        <f t="shared" si="247"/>
        <v>6.1133494101610418E-2</v>
      </c>
      <c r="P111" s="162">
        <f t="shared" si="247"/>
        <v>7.284173583410071E-2</v>
      </c>
      <c r="Q111" s="162">
        <f t="shared" si="247"/>
        <v>8.5920637089427959E-2</v>
      </c>
      <c r="R111" s="162">
        <f t="shared" si="247"/>
        <v>0.10049942945113183</v>
      </c>
      <c r="S111" s="162">
        <f t="shared" si="247"/>
        <v>0.11672991048066553</v>
      </c>
      <c r="T111" s="162">
        <f t="shared" si="247"/>
        <v>0.13479092156524411</v>
      </c>
      <c r="U111" s="162">
        <f t="shared" si="247"/>
        <v>0.15489400005689355</v>
      </c>
      <c r="V111" s="162">
        <f t="shared" si="247"/>
        <v>0.17729057194898087</v>
      </c>
      <c r="W111" s="162">
        <f t="shared" si="247"/>
        <v>0.20228118888318319</v>
      </c>
      <c r="X111" s="162">
        <f t="shared" si="247"/>
        <v>0.23022751145568171</v>
      </c>
      <c r="Y111" s="162">
        <f t="shared" si="247"/>
        <v>0.26156803076452206</v>
      </c>
      <c r="Z111" s="162">
        <f t="shared" si="247"/>
        <v>0.29683895159223334</v>
      </c>
      <c r="AA111" s="162">
        <f t="shared" si="247"/>
        <v>0.33670231437856624</v>
      </c>
      <c r="AB111" s="162">
        <f t="shared" si="247"/>
        <v>0.3819844436795905</v>
      </c>
      <c r="AC111" s="162">
        <f t="shared" si="247"/>
        <v>0.43372940736858195</v>
      </c>
      <c r="AD111" s="162">
        <f t="shared" si="247"/>
        <v>0.49327475479730293</v>
      </c>
      <c r="AE111" s="162">
        <f t="shared" si="247"/>
        <v>0.56236109734383766</v>
      </c>
      <c r="AF111" s="162">
        <f t="shared" si="247"/>
        <v>0.64329444979861217</v>
      </c>
      <c r="AG111" s="162">
        <f t="shared" si="247"/>
        <v>0.73919327082264941</v>
      </c>
      <c r="AH111" s="162">
        <f t="shared" si="247"/>
        <v>0.85437606315364067</v>
      </c>
      <c r="AI111" s="162">
        <f t="shared" ref="AI111:BN111" si="248">1/((1+(AI$23*(1-(1/(AI$25^2)))))^2+(AI107*(AI$25-(1/AI$25)))^2)^0.5</f>
        <v>0.99499123209856299</v>
      </c>
      <c r="AJ111" s="162">
        <f t="shared" si="248"/>
        <v>1.1700829803597015</v>
      </c>
      <c r="AK111" s="162">
        <f t="shared" si="248"/>
        <v>1.3934820411633912</v>
      </c>
      <c r="AL111" s="162">
        <f t="shared" si="248"/>
        <v>1.6873477966376764</v>
      </c>
      <c r="AM111" s="162">
        <f t="shared" si="248"/>
        <v>2.0892310041035715</v>
      </c>
      <c r="AN111" s="162">
        <f t="shared" si="248"/>
        <v>2.6671249457149426</v>
      </c>
      <c r="AO111" s="162">
        <f t="shared" si="248"/>
        <v>3.5531967703309584</v>
      </c>
      <c r="AP111" s="162">
        <f t="shared" si="248"/>
        <v>5.0133013979066483</v>
      </c>
      <c r="AQ111" s="162">
        <f t="shared" si="248"/>
        <v>7.4311367061214781</v>
      </c>
      <c r="AR111" s="162">
        <f t="shared" si="248"/>
        <v>9.6457764847448697</v>
      </c>
      <c r="AS111" s="162">
        <f t="shared" si="248"/>
        <v>8.4243700855848385</v>
      </c>
      <c r="AT111" s="162">
        <f t="shared" si="248"/>
        <v>6.1173095756611495</v>
      </c>
      <c r="AU111" s="162">
        <f t="shared" si="248"/>
        <v>4.6170143180196996</v>
      </c>
      <c r="AV111" s="162">
        <f t="shared" si="248"/>
        <v>3.6986094327162076</v>
      </c>
      <c r="AW111" s="162">
        <f t="shared" si="248"/>
        <v>3.1006516175838934</v>
      </c>
      <c r="AX111" s="162">
        <f t="shared" si="248"/>
        <v>2.686052018873764</v>
      </c>
      <c r="AY111" s="162">
        <f t="shared" si="248"/>
        <v>2.383644755948112</v>
      </c>
      <c r="AZ111" s="162">
        <f t="shared" si="248"/>
        <v>2.1541421928936271</v>
      </c>
      <c r="BA111" s="162">
        <f t="shared" si="248"/>
        <v>1.9744226342938165</v>
      </c>
      <c r="BB111" s="162">
        <f t="shared" si="248"/>
        <v>1.8300996131920524</v>
      </c>
      <c r="BC111" s="162">
        <f t="shared" si="248"/>
        <v>1.7117932726073528</v>
      </c>
      <c r="BD111" s="162">
        <f t="shared" si="248"/>
        <v>1.6131437412696934</v>
      </c>
      <c r="BE111" s="162">
        <f t="shared" si="248"/>
        <v>1.5296940619807258</v>
      </c>
      <c r="BF111" s="162">
        <f t="shared" si="248"/>
        <v>1.4582318768449751</v>
      </c>
      <c r="BG111" s="162">
        <f t="shared" si="248"/>
        <v>1.3963853701724855</v>
      </c>
      <c r="BH111" s="162">
        <f t="shared" si="248"/>
        <v>1.342366360808819</v>
      </c>
      <c r="BI111" s="162">
        <f t="shared" si="248"/>
        <v>1.2948018476802599</v>
      </c>
      <c r="BJ111" s="162">
        <f t="shared" si="248"/>
        <v>1.252620527882067</v>
      </c>
      <c r="BK111" s="162">
        <f t="shared" si="248"/>
        <v>1.2149745002362244</v>
      </c>
      <c r="BL111" s="162">
        <f t="shared" si="248"/>
        <v>1.1811840858993756</v>
      </c>
      <c r="BM111" s="162">
        <f t="shared" si="248"/>
        <v>1.1506981955401896</v>
      </c>
      <c r="BN111" s="162">
        <f t="shared" si="248"/>
        <v>1.1230653730311657</v>
      </c>
      <c r="BO111" s="162">
        <f t="shared" ref="BO111:CG111" si="249">1/((1+(BO$23*(1-(1/(BO$25^2)))))^2+(BO107*(BO$25-(1/BO$25)))^2)^0.5</f>
        <v>1.0979123109203441</v>
      </c>
      <c r="BP111" s="162">
        <f t="shared" si="249"/>
        <v>1.0749276851137366</v>
      </c>
      <c r="BQ111" s="162">
        <f t="shared" si="249"/>
        <v>1.0538498357351054</v>
      </c>
      <c r="BR111" s="162">
        <f t="shared" si="249"/>
        <v>1.0344572688736</v>
      </c>
      <c r="BS111" s="162">
        <f t="shared" si="249"/>
        <v>1.0165612543913041</v>
      </c>
      <c r="BT111" s="162">
        <f t="shared" si="249"/>
        <v>1</v>
      </c>
      <c r="BU111" s="162">
        <f t="shared" si="249"/>
        <v>0.91682089617993123</v>
      </c>
      <c r="BV111" s="162">
        <f t="shared" si="249"/>
        <v>0.86133793735530506</v>
      </c>
      <c r="BW111" s="162">
        <f t="shared" si="249"/>
        <v>0.8219933184371323</v>
      </c>
      <c r="BX111" s="162">
        <f t="shared" si="249"/>
        <v>0.79282094688126492</v>
      </c>
      <c r="BY111" s="162">
        <f t="shared" si="249"/>
        <v>0.77043914221880894</v>
      </c>
      <c r="BZ111" s="162">
        <f t="shared" si="249"/>
        <v>0.75279348569121507</v>
      </c>
      <c r="CA111" s="162">
        <f t="shared" si="249"/>
        <v>0.73856723912208222</v>
      </c>
      <c r="CB111" s="162">
        <f t="shared" si="249"/>
        <v>0.72687969819229237</v>
      </c>
      <c r="CC111" s="162">
        <f t="shared" si="249"/>
        <v>0.71712094338824528</v>
      </c>
      <c r="CD111" s="162">
        <f t="shared" si="249"/>
        <v>0.7088561755664986</v>
      </c>
      <c r="CE111" s="162">
        <f t="shared" si="249"/>
        <v>0.70176775366763666</v>
      </c>
      <c r="CF111" s="162">
        <f t="shared" si="249"/>
        <v>0.69561870604991927</v>
      </c>
      <c r="CG111" s="162">
        <f t="shared" si="249"/>
        <v>0.69022899852450947</v>
      </c>
      <c r="CH111" s="162"/>
    </row>
    <row r="113" spans="2:90" ht="17.25" customHeight="1"/>
    <row r="114" spans="2:90" ht="16.5" customHeight="1">
      <c r="B114" s="166" t="s">
        <v>864</v>
      </c>
      <c r="C114" s="166">
        <f t="shared" ref="C114:AH114" si="250">ABS(C99-C53)</f>
        <v>1.2294081450834877</v>
      </c>
      <c r="D114" s="166">
        <f t="shared" si="250"/>
        <v>1.22894984034209</v>
      </c>
      <c r="E114" s="166">
        <f t="shared" si="250"/>
        <v>1.2277287643598815</v>
      </c>
      <c r="F114" s="166">
        <f t="shared" si="250"/>
        <v>1.2257357570359702</v>
      </c>
      <c r="G114" s="166">
        <f t="shared" si="250"/>
        <v>1.2229614551091412</v>
      </c>
      <c r="H114" s="166">
        <f t="shared" si="250"/>
        <v>1.2193927460039475</v>
      </c>
      <c r="I114" s="166">
        <f t="shared" si="250"/>
        <v>1.2150126284205875</v>
      </c>
      <c r="J114" s="166">
        <f t="shared" si="250"/>
        <v>1.209800030974711</v>
      </c>
      <c r="K114" s="166">
        <f t="shared" si="250"/>
        <v>1.2037295865865347</v>
      </c>
      <c r="L114" s="166">
        <f t="shared" si="250"/>
        <v>1.1967713598614411</v>
      </c>
      <c r="M114" s="166">
        <f t="shared" si="250"/>
        <v>1.1888905242984957</v>
      </c>
      <c r="N114" s="166">
        <f t="shared" si="250"/>
        <v>1.1800469858460794</v>
      </c>
      <c r="O114" s="166">
        <f t="shared" si="250"/>
        <v>1.170194949152108</v>
      </c>
      <c r="P114" s="166">
        <f t="shared" si="250"/>
        <v>1.1592824229157785</v>
      </c>
      <c r="Q114" s="166">
        <f t="shared" si="250"/>
        <v>1.1472506611654156</v>
      </c>
      <c r="R114" s="166">
        <f t="shared" si="250"/>
        <v>1.1340335382486646</v>
      </c>
      <c r="S114" s="166">
        <f t="shared" si="250"/>
        <v>1.1195568570968075</v>
      </c>
      <c r="T114" s="166">
        <f t="shared" si="250"/>
        <v>1.1037375933029296</v>
      </c>
      <c r="U114" s="166">
        <f t="shared" si="250"/>
        <v>1.0864830822899103</v>
      </c>
      <c r="V114" s="166">
        <f t="shared" si="250"/>
        <v>1.0676901641282583</v>
      </c>
      <c r="W114" s="166">
        <f t="shared" si="250"/>
        <v>1.0472443115082566</v>
      </c>
      <c r="X114" s="166">
        <f t="shared" si="250"/>
        <v>1.0250187825287402</v>
      </c>
      <c r="Y114" s="166">
        <f t="shared" si="250"/>
        <v>1.0008738634774497</v>
      </c>
      <c r="Z114" s="166">
        <f t="shared" si="250"/>
        <v>0.97465630054932051</v>
      </c>
      <c r="AA114" s="166">
        <f t="shared" si="250"/>
        <v>0.94619906732700665</v>
      </c>
      <c r="AB114" s="166">
        <f t="shared" si="250"/>
        <v>0.91532168175751738</v>
      </c>
      <c r="AC114" s="166">
        <f t="shared" si="250"/>
        <v>0.88183137827127389</v>
      </c>
      <c r="AD114" s="166">
        <f t="shared" si="250"/>
        <v>0.84552556418689695</v>
      </c>
      <c r="AE114" s="166">
        <f t="shared" si="250"/>
        <v>0.80619615053604599</v>
      </c>
      <c r="AF114" s="166">
        <f t="shared" si="250"/>
        <v>0.7636365482618177</v>
      </c>
      <c r="AG114" s="166">
        <f t="shared" si="250"/>
        <v>0.71765235439213226</v>
      </c>
      <c r="AH114" s="166">
        <f t="shared" si="250"/>
        <v>0.66807699256908093</v>
      </c>
      <c r="AI114" s="166">
        <f t="shared" ref="AI114:BN114" si="251">ABS(AI99-AI53)</f>
        <v>0.61479375490286714</v>
      </c>
      <c r="AJ114" s="166">
        <f t="shared" si="251"/>
        <v>0.55776569317782909</v>
      </c>
      <c r="AK114" s="166">
        <f t="shared" si="251"/>
        <v>0.49707441328615809</v>
      </c>
      <c r="AL114" s="166">
        <f t="shared" si="251"/>
        <v>0.43296771680377466</v>
      </c>
      <c r="AM114" s="166">
        <f t="shared" si="251"/>
        <v>0.36591380971737542</v>
      </c>
      <c r="AN114" s="166">
        <f t="shared" si="251"/>
        <v>0.29665612669567443</v>
      </c>
      <c r="AO114" s="166">
        <f t="shared" si="251"/>
        <v>0.22625776500715022</v>
      </c>
      <c r="AP114" s="166">
        <f t="shared" si="251"/>
        <v>0.15611909289432302</v>
      </c>
      <c r="AQ114" s="166">
        <f t="shared" si="251"/>
        <v>8.7948779012887668E-2</v>
      </c>
      <c r="AR114" s="166">
        <f t="shared" si="251"/>
        <v>2.3671141301035759E-2</v>
      </c>
      <c r="AS114" s="166">
        <f t="shared" si="251"/>
        <v>2.9476618883249373E-2</v>
      </c>
      <c r="AT114" s="166">
        <f t="shared" si="251"/>
        <v>8.0993455068664399E-2</v>
      </c>
      <c r="AU114" s="166">
        <f t="shared" si="251"/>
        <v>0.12349588836274328</v>
      </c>
      <c r="AV114" s="166">
        <f t="shared" si="251"/>
        <v>0.15604888806396877</v>
      </c>
      <c r="AW114" s="166">
        <f t="shared" si="251"/>
        <v>0.17836291841005503</v>
      </c>
      <c r="AX114" s="166">
        <f t="shared" si="251"/>
        <v>0.19077986219838894</v>
      </c>
      <c r="AY114" s="166">
        <f t="shared" si="251"/>
        <v>0.19416040815666924</v>
      </c>
      <c r="AZ114" s="166">
        <f t="shared" si="251"/>
        <v>0.18971302893845254</v>
      </c>
      <c r="BA114" s="166">
        <f t="shared" si="251"/>
        <v>0.1788121589138385</v>
      </c>
      <c r="BB114" s="166">
        <f t="shared" si="251"/>
        <v>0.16284274243191343</v>
      </c>
      <c r="BC114" s="166">
        <f t="shared" si="251"/>
        <v>0.14308983735772585</v>
      </c>
      <c r="BD114" s="166">
        <f t="shared" si="251"/>
        <v>0.12067518059665439</v>
      </c>
      <c r="BE114" s="166">
        <f t="shared" si="251"/>
        <v>9.6532397031581008E-2</v>
      </c>
      <c r="BF114" s="166">
        <f t="shared" si="251"/>
        <v>7.1408927512232045E-2</v>
      </c>
      <c r="BG114" s="166">
        <f t="shared" si="251"/>
        <v>4.5883501854094844E-2</v>
      </c>
      <c r="BH114" s="166">
        <f t="shared" si="251"/>
        <v>2.0390649302726382E-2</v>
      </c>
      <c r="BI114" s="166">
        <f t="shared" si="251"/>
        <v>4.7533279374301074E-3</v>
      </c>
      <c r="BJ114" s="166">
        <f t="shared" si="251"/>
        <v>2.9326078821636958E-2</v>
      </c>
      <c r="BK114" s="166">
        <f t="shared" si="251"/>
        <v>5.3178096255694918E-2</v>
      </c>
      <c r="BL114" s="166">
        <f t="shared" si="251"/>
        <v>7.6215203343284355E-2</v>
      </c>
      <c r="BM114" s="166">
        <f t="shared" si="251"/>
        <v>9.838448432459912E-2</v>
      </c>
      <c r="BN114" s="166">
        <f t="shared" si="251"/>
        <v>0.11966324549489049</v>
      </c>
      <c r="BO114" s="166">
        <f t="shared" ref="BO114:CG114" si="252">ABS(BO99-BO53)</f>
        <v>0.14005050672737207</v>
      </c>
      <c r="BP114" s="166">
        <f t="shared" si="252"/>
        <v>0.15956053581629503</v>
      </c>
      <c r="BQ114" s="166">
        <f t="shared" si="252"/>
        <v>0.17821799347852196</v>
      </c>
      <c r="BR114" s="166">
        <f t="shared" si="252"/>
        <v>0.19605432693457558</v>
      </c>
      <c r="BS114" s="166">
        <f t="shared" si="252"/>
        <v>0.21310511925820186</v>
      </c>
      <c r="BT114" s="166">
        <f t="shared" si="252"/>
        <v>0.22940816326530622</v>
      </c>
      <c r="BU114" s="166">
        <f t="shared" si="252"/>
        <v>0.31972177294313808</v>
      </c>
      <c r="BV114" s="166">
        <f t="shared" si="252"/>
        <v>0.38941537824386152</v>
      </c>
      <c r="BW114" s="166">
        <f t="shared" si="252"/>
        <v>0.44513584394433481</v>
      </c>
      <c r="BX114" s="166">
        <f t="shared" si="252"/>
        <v>0.49115605325677225</v>
      </c>
      <c r="BY114" s="166">
        <f t="shared" si="252"/>
        <v>0.53021285819912967</v>
      </c>
      <c r="BZ114" s="166">
        <f t="shared" si="252"/>
        <v>0.56409783133163838</v>
      </c>
      <c r="CA114" s="166">
        <f t="shared" si="252"/>
        <v>0.59401722896558662</v>
      </c>
      <c r="CB114" s="166">
        <f t="shared" si="252"/>
        <v>0.62080704919314811</v>
      </c>
      <c r="CC114" s="166">
        <f t="shared" si="252"/>
        <v>0.64506311952993833</v>
      </c>
      <c r="CD114" s="166">
        <f t="shared" si="252"/>
        <v>0.66722151082251557</v>
      </c>
      <c r="CE114" s="166">
        <f t="shared" si="252"/>
        <v>0.68760943606835301</v>
      </c>
      <c r="CF114" s="166">
        <f t="shared" si="252"/>
        <v>0.70647822188724763</v>
      </c>
      <c r="CG114" s="166">
        <f t="shared" si="252"/>
        <v>0.72402513835818216</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v>
      </c>
      <c r="AL115" s="166">
        <f t="shared" si="254"/>
        <v>0</v>
      </c>
      <c r="AM115" s="166">
        <f t="shared" si="254"/>
        <v>0</v>
      </c>
      <c r="AN115" s="166">
        <f t="shared" si="254"/>
        <v>0</v>
      </c>
      <c r="AO115" s="166">
        <f t="shared" si="254"/>
        <v>0</v>
      </c>
      <c r="AP115" s="166">
        <f t="shared" si="254"/>
        <v>0</v>
      </c>
      <c r="AQ115" s="166">
        <f t="shared" si="254"/>
        <v>0</v>
      </c>
      <c r="AR115" s="166">
        <f t="shared" si="254"/>
        <v>0.59558339718127062</v>
      </c>
      <c r="AS115" s="166">
        <f t="shared" si="254"/>
        <v>0.6086956521739143</v>
      </c>
      <c r="AT115" s="166">
        <f t="shared" si="254"/>
        <v>0</v>
      </c>
      <c r="AU115" s="166">
        <f t="shared" si="254"/>
        <v>0</v>
      </c>
      <c r="AV115" s="166">
        <f t="shared" si="254"/>
        <v>0</v>
      </c>
      <c r="AW115" s="166">
        <f t="shared" si="254"/>
        <v>0</v>
      </c>
      <c r="AX115" s="166">
        <f t="shared" si="254"/>
        <v>0</v>
      </c>
      <c r="AY115" s="166">
        <f t="shared" si="254"/>
        <v>0</v>
      </c>
      <c r="AZ115" s="166">
        <f t="shared" si="254"/>
        <v>0</v>
      </c>
      <c r="BA115" s="166">
        <f t="shared" si="254"/>
        <v>0</v>
      </c>
      <c r="BB115" s="166">
        <f t="shared" si="254"/>
        <v>0</v>
      </c>
      <c r="BC115" s="166">
        <f t="shared" si="254"/>
        <v>0</v>
      </c>
      <c r="BD115" s="166">
        <f t="shared" si="254"/>
        <v>0</v>
      </c>
      <c r="BE115" s="166">
        <f t="shared" si="254"/>
        <v>0</v>
      </c>
      <c r="BF115" s="166">
        <f t="shared" si="254"/>
        <v>0</v>
      </c>
      <c r="BG115" s="166">
        <f t="shared" si="254"/>
        <v>0.81159420289855133</v>
      </c>
      <c r="BH115" s="166">
        <f t="shared" si="254"/>
        <v>0.82608695652173969</v>
      </c>
      <c r="BI115" s="166">
        <f t="shared" si="254"/>
        <v>0.84057971014492805</v>
      </c>
      <c r="BJ115" s="166">
        <f t="shared" si="254"/>
        <v>0.85507246376811641</v>
      </c>
      <c r="BK115" s="166">
        <f t="shared" si="254"/>
        <v>0</v>
      </c>
      <c r="BL115" s="166">
        <f t="shared" si="254"/>
        <v>0</v>
      </c>
      <c r="BM115" s="166">
        <f t="shared" si="254"/>
        <v>0</v>
      </c>
      <c r="BN115" s="166">
        <f t="shared" si="254"/>
        <v>0</v>
      </c>
      <c r="BO115" s="166">
        <f t="shared" ref="BO115:CG115" si="255">IF(BO114&lt;0.05,BO25,0)</f>
        <v>0</v>
      </c>
      <c r="BP115" s="166">
        <f t="shared" si="255"/>
        <v>0</v>
      </c>
      <c r="BQ115" s="166">
        <f t="shared" si="255"/>
        <v>0</v>
      </c>
      <c r="BR115" s="166">
        <f t="shared" si="255"/>
        <v>0</v>
      </c>
      <c r="BS115" s="166">
        <f t="shared" si="255"/>
        <v>0</v>
      </c>
      <c r="BT115" s="166">
        <f t="shared" si="255"/>
        <v>0</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0.85507246376811641</v>
      </c>
      <c r="CJ115" s="169">
        <f>SUM(CI115:CI121)/4</f>
        <v>0.86956521739130477</v>
      </c>
      <c r="CK115" s="21">
        <f>CJ115*'Design Spec'!D102</f>
        <v>130.43478260869571</v>
      </c>
      <c r="CL115" s="37" t="s">
        <v>187</v>
      </c>
    </row>
    <row r="116" spans="2:90" ht="16.5" customHeight="1">
      <c r="B116" s="166" t="s">
        <v>868</v>
      </c>
      <c r="C116" s="166">
        <f t="shared" ref="C116:AH116" si="256">ABS(C100-C53)</f>
        <v>1.2294081450834877</v>
      </c>
      <c r="D116" s="166">
        <f t="shared" si="256"/>
        <v>1.228949791379486</v>
      </c>
      <c r="E116" s="166">
        <f t="shared" si="256"/>
        <v>1.2277281067461276</v>
      </c>
      <c r="F116" s="166">
        <f t="shared" si="256"/>
        <v>1.2257326107606497</v>
      </c>
      <c r="G116" s="166">
        <f t="shared" si="256"/>
        <v>1.2229517523367144</v>
      </c>
      <c r="H116" s="166">
        <f t="shared" si="256"/>
        <v>1.219369304917485</v>
      </c>
      <c r="I116" s="166">
        <f t="shared" si="256"/>
        <v>1.2149641426741364</v>
      </c>
      <c r="J116" s="166">
        <f t="shared" si="256"/>
        <v>1.2097099457856375</v>
      </c>
      <c r="K116" s="166">
        <f t="shared" si="256"/>
        <v>1.2035748281097989</v>
      </c>
      <c r="L116" s="166">
        <f t="shared" si="256"/>
        <v>1.196520878723933</v>
      </c>
      <c r="M116" s="166">
        <f t="shared" si="256"/>
        <v>1.1885036067528143</v>
      </c>
      <c r="N116" s="166">
        <f t="shared" si="256"/>
        <v>1.1794712765676316</v>
      </c>
      <c r="O116" s="166">
        <f t="shared" si="256"/>
        <v>1.1693641177913181</v>
      </c>
      <c r="P116" s="166">
        <f t="shared" si="256"/>
        <v>1.1581133915519237</v>
      </c>
      <c r="Q116" s="166">
        <f t="shared" si="256"/>
        <v>1.1456402910765908</v>
      </c>
      <c r="R116" s="166">
        <f t="shared" si="256"/>
        <v>1.1318546510449674</v>
      </c>
      <c r="S116" s="166">
        <f t="shared" si="256"/>
        <v>1.1166534362268161</v>
      </c>
      <c r="T116" s="166">
        <f t="shared" si="256"/>
        <v>1.0999189760463373</v>
      </c>
      <c r="U116" s="166">
        <f t="shared" si="256"/>
        <v>1.0815169082948317</v>
      </c>
      <c r="V116" s="166">
        <f t="shared" si="256"/>
        <v>1.0612937930660622</v>
      </c>
      <c r="W116" s="166">
        <f t="shared" si="256"/>
        <v>1.0390743585263462</v>
      </c>
      <c r="X116" s="166">
        <f t="shared" si="256"/>
        <v>1.0146583457450449</v>
      </c>
      <c r="Y116" s="166">
        <f t="shared" si="256"/>
        <v>0.98781693448224805</v>
      </c>
      <c r="Z116" s="166">
        <f t="shared" si="256"/>
        <v>0.95828876210327918</v>
      </c>
      <c r="AA116" s="166">
        <f t="shared" si="256"/>
        <v>0.92577560430161565</v>
      </c>
      <c r="AB116" s="166">
        <f t="shared" si="256"/>
        <v>0.88993788616352976</v>
      </c>
      <c r="AC116" s="166">
        <f t="shared" si="256"/>
        <v>0.8503903624359137</v>
      </c>
      <c r="AD116" s="166">
        <f t="shared" si="256"/>
        <v>0.8066985889874172</v>
      </c>
      <c r="AE116" s="166">
        <f t="shared" si="256"/>
        <v>0.75837726773956338</v>
      </c>
      <c r="AF116" s="166">
        <f t="shared" si="256"/>
        <v>0.70489227880608296</v>
      </c>
      <c r="AG116" s="166">
        <f t="shared" si="256"/>
        <v>0.6456693444345919</v>
      </c>
      <c r="AH116" s="166">
        <f t="shared" si="256"/>
        <v>0.58011395233529861</v>
      </c>
      <c r="AI116" s="166">
        <f t="shared" ref="AI116:BN116" si="257">ABS(AI100-AI53)</f>
        <v>0.50764952733983804</v>
      </c>
      <c r="AJ116" s="166">
        <f t="shared" si="257"/>
        <v>0.42778382953002414</v>
      </c>
      <c r="AK116" s="166">
        <f t="shared" si="257"/>
        <v>0.34021659212427902</v>
      </c>
      <c r="AL116" s="166">
        <f t="shared" si="257"/>
        <v>0.24500268024368776</v>
      </c>
      <c r="AM116" s="166">
        <f t="shared" si="257"/>
        <v>0.14278042353732712</v>
      </c>
      <c r="AN116" s="166">
        <f t="shared" si="257"/>
        <v>3.5056891505228949E-2</v>
      </c>
      <c r="AO116" s="166">
        <f t="shared" si="257"/>
        <v>7.5498406919245697E-2</v>
      </c>
      <c r="AP116" s="166">
        <f t="shared" si="257"/>
        <v>0.18486504896134925</v>
      </c>
      <c r="AQ116" s="166">
        <f t="shared" si="257"/>
        <v>0.28776844372465638</v>
      </c>
      <c r="AR116" s="166">
        <f t="shared" si="257"/>
        <v>0.3782409530714792</v>
      </c>
      <c r="AS116" s="166">
        <f t="shared" si="257"/>
        <v>0.44467599051479301</v>
      </c>
      <c r="AT116" s="166">
        <f t="shared" si="257"/>
        <v>0.49727297163317918</v>
      </c>
      <c r="AU116" s="166">
        <f t="shared" si="257"/>
        <v>0.52640022419088717</v>
      </c>
      <c r="AV116" s="166">
        <f t="shared" si="257"/>
        <v>0.53308509916896574</v>
      </c>
      <c r="AW116" s="166">
        <f t="shared" si="257"/>
        <v>0.52052727254169229</v>
      </c>
      <c r="AX116" s="166">
        <f t="shared" si="257"/>
        <v>0.49307489683294903</v>
      </c>
      <c r="AY116" s="166">
        <f t="shared" si="257"/>
        <v>0.45522565927751346</v>
      </c>
      <c r="AZ116" s="166">
        <f t="shared" si="257"/>
        <v>0.41095359373483853</v>
      </c>
      <c r="BA116" s="166">
        <f t="shared" si="257"/>
        <v>0.36340961806100358</v>
      </c>
      <c r="BB116" s="166">
        <f t="shared" si="257"/>
        <v>0.31489464094819652</v>
      </c>
      <c r="BC116" s="166">
        <f t="shared" si="257"/>
        <v>0.26697559027135731</v>
      </c>
      <c r="BD116" s="166">
        <f t="shared" si="257"/>
        <v>0.22064794650519937</v>
      </c>
      <c r="BE116" s="166">
        <f t="shared" si="257"/>
        <v>0.17649179873306653</v>
      </c>
      <c r="BF116" s="166">
        <f t="shared" si="257"/>
        <v>0.13480017219582274</v>
      </c>
      <c r="BG116" s="166">
        <f t="shared" si="257"/>
        <v>9.5675917078044348E-2</v>
      </c>
      <c r="BH116" s="166">
        <f t="shared" si="257"/>
        <v>5.9101036973961518E-2</v>
      </c>
      <c r="BI116" s="166">
        <f t="shared" si="257"/>
        <v>2.4984489616453054E-2</v>
      </c>
      <c r="BJ116" s="166">
        <f t="shared" si="257"/>
        <v>6.8057799847478506E-3</v>
      </c>
      <c r="BK116" s="166">
        <f t="shared" si="257"/>
        <v>3.64219027749908E-2</v>
      </c>
      <c r="BL116" s="166">
        <f t="shared" si="257"/>
        <v>6.4022751327635907E-2</v>
      </c>
      <c r="BM116" s="166">
        <f t="shared" si="257"/>
        <v>8.9765713199382535E-2</v>
      </c>
      <c r="BN116" s="166">
        <f t="shared" si="257"/>
        <v>0.11380184135711358</v>
      </c>
      <c r="BO116" s="166">
        <f t="shared" ref="BO116:CG116" si="258">ABS(BO100-BO53)</f>
        <v>0.1362732038057457</v>
      </c>
      <c r="BP116" s="166">
        <f t="shared" si="258"/>
        <v>0.15731164142796383</v>
      </c>
      <c r="BQ116" s="166">
        <f t="shared" si="258"/>
        <v>0.17703840834067908</v>
      </c>
      <c r="BR116" s="166">
        <f t="shared" si="258"/>
        <v>0.19556434858902438</v>
      </c>
      <c r="BS116" s="166">
        <f t="shared" si="258"/>
        <v>0.212990383381223</v>
      </c>
      <c r="BT116" s="166">
        <f t="shared" si="258"/>
        <v>0.22940816326530622</v>
      </c>
      <c r="BU116" s="166">
        <f t="shared" si="258"/>
        <v>0.31657150933745171</v>
      </c>
      <c r="BV116" s="166">
        <f t="shared" si="258"/>
        <v>0.38012653599996638</v>
      </c>
      <c r="BW116" s="166">
        <f t="shared" si="258"/>
        <v>0.4290240742543171</v>
      </c>
      <c r="BX116" s="166">
        <f t="shared" si="258"/>
        <v>0.46833339746001579</v>
      </c>
      <c r="BY116" s="166">
        <f t="shared" si="258"/>
        <v>0.50108104963460876</v>
      </c>
      <c r="BZ116" s="166">
        <f t="shared" si="258"/>
        <v>0.52916035288489172</v>
      </c>
      <c r="CA116" s="166">
        <f t="shared" si="258"/>
        <v>0.55380344089756905</v>
      </c>
      <c r="CB116" s="166">
        <f t="shared" si="258"/>
        <v>0.57583931324142901</v>
      </c>
      <c r="CC116" s="166">
        <f t="shared" si="258"/>
        <v>0.59584179760333444</v>
      </c>
      <c r="CD116" s="166">
        <f t="shared" si="258"/>
        <v>0.61421800838613194</v>
      </c>
      <c r="CE116" s="166">
        <f t="shared" si="258"/>
        <v>0.63126317514950725</v>
      </c>
      <c r="CF116" s="166">
        <f t="shared" si="258"/>
        <v>0.64719569763454987</v>
      </c>
      <c r="CG116" s="166">
        <f t="shared" si="258"/>
        <v>0.66218016427900439</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v>
      </c>
      <c r="AJ117" s="166">
        <f t="shared" si="260"/>
        <v>0</v>
      </c>
      <c r="AK117" s="166">
        <f t="shared" si="260"/>
        <v>0</v>
      </c>
      <c r="AL117" s="166">
        <f t="shared" si="260"/>
        <v>0</v>
      </c>
      <c r="AM117" s="166">
        <f t="shared" si="260"/>
        <v>0</v>
      </c>
      <c r="AN117" s="166">
        <f t="shared" si="260"/>
        <v>0.53761238268851719</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v>
      </c>
      <c r="BC117" s="166">
        <f t="shared" si="260"/>
        <v>0</v>
      </c>
      <c r="BD117" s="166">
        <f t="shared" si="260"/>
        <v>0</v>
      </c>
      <c r="BE117" s="166">
        <f t="shared" si="260"/>
        <v>0</v>
      </c>
      <c r="BF117" s="166">
        <f t="shared" si="260"/>
        <v>0</v>
      </c>
      <c r="BG117" s="166">
        <f t="shared" si="260"/>
        <v>0</v>
      </c>
      <c r="BH117" s="166">
        <f t="shared" si="260"/>
        <v>0</v>
      </c>
      <c r="BI117" s="166">
        <f t="shared" si="260"/>
        <v>0.84057971014492805</v>
      </c>
      <c r="BJ117" s="166">
        <f t="shared" si="260"/>
        <v>0.85507246376811641</v>
      </c>
      <c r="BK117" s="166">
        <f t="shared" si="260"/>
        <v>0.86956521739130477</v>
      </c>
      <c r="BL117" s="166">
        <f t="shared" si="260"/>
        <v>0</v>
      </c>
      <c r="BM117" s="166">
        <f t="shared" si="260"/>
        <v>0</v>
      </c>
      <c r="BN117" s="166">
        <f t="shared" si="260"/>
        <v>0</v>
      </c>
      <c r="BO117" s="166">
        <f t="shared" ref="BO117:CG117" si="261">IF(BO116&lt;0.05,BO25,0)</f>
        <v>0</v>
      </c>
      <c r="BP117" s="166">
        <f t="shared" si="261"/>
        <v>0</v>
      </c>
      <c r="BQ117" s="166">
        <f t="shared" si="261"/>
        <v>0</v>
      </c>
      <c r="BR117" s="166">
        <f t="shared" si="261"/>
        <v>0</v>
      </c>
      <c r="BS117" s="166">
        <f t="shared" si="261"/>
        <v>0</v>
      </c>
      <c r="BT117" s="166">
        <f t="shared" si="261"/>
        <v>0</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0.86956521739130477</v>
      </c>
      <c r="CJ117" s="169"/>
      <c r="CL117" s="37"/>
    </row>
    <row r="118" spans="2:90" ht="16.5" customHeight="1">
      <c r="B118" s="166" t="s">
        <v>869</v>
      </c>
      <c r="C118" s="166">
        <f t="shared" ref="C118:AH118" si="262">ABS(C101-C53)</f>
        <v>1.2294081450834875</v>
      </c>
      <c r="D118" s="166">
        <f t="shared" si="262"/>
        <v>1.2289497563965885</v>
      </c>
      <c r="E118" s="166">
        <f t="shared" si="262"/>
        <v>1.2277276365487646</v>
      </c>
      <c r="F118" s="166">
        <f t="shared" si="262"/>
        <v>1.2257303584637058</v>
      </c>
      <c r="G118" s="166">
        <f t="shared" si="262"/>
        <v>1.222944794900767</v>
      </c>
      <c r="H118" s="166">
        <f t="shared" si="262"/>
        <v>1.2193524601532122</v>
      </c>
      <c r="I118" s="166">
        <f t="shared" si="262"/>
        <v>1.2149292085019396</v>
      </c>
      <c r="J118" s="166">
        <f t="shared" si="262"/>
        <v>1.2096448336806811</v>
      </c>
      <c r="K118" s="166">
        <f t="shared" si="262"/>
        <v>1.2034625573520084</v>
      </c>
      <c r="L118" s="166">
        <f t="shared" si="262"/>
        <v>1.1963383909022018</v>
      </c>
      <c r="M118" s="166">
        <f t="shared" si="262"/>
        <v>1.1882203504337743</v>
      </c>
      <c r="N118" s="166">
        <f t="shared" si="262"/>
        <v>1.1790474994336431</v>
      </c>
      <c r="O118" s="166">
        <f t="shared" si="262"/>
        <v>1.1687487869262716</v>
      </c>
      <c r="P118" s="166">
        <f t="shared" si="262"/>
        <v>1.1572416406049297</v>
      </c>
      <c r="Q118" s="166">
        <f t="shared" si="262"/>
        <v>1.1444302639814441</v>
      </c>
      <c r="R118" s="166">
        <f t="shared" si="262"/>
        <v>1.1302035733733382</v>
      </c>
      <c r="S118" s="166">
        <f t="shared" si="262"/>
        <v>1.1144326937404054</v>
      </c>
      <c r="T118" s="166">
        <f t="shared" si="262"/>
        <v>1.0969679109391139</v>
      </c>
      <c r="U118" s="166">
        <f t="shared" si="262"/>
        <v>1.0776349505406595</v>
      </c>
      <c r="V118" s="166">
        <f t="shared" si="262"/>
        <v>1.0562304182704165</v>
      </c>
      <c r="W118" s="166">
        <f t="shared" si="262"/>
        <v>1.032516192312436</v>
      </c>
      <c r="X118" s="166">
        <f t="shared" si="262"/>
        <v>1.0062125007912974</v>
      </c>
      <c r="Y118" s="166">
        <f t="shared" si="262"/>
        <v>0.97698934619624178</v>
      </c>
      <c r="Z118" s="166">
        <f t="shared" si="262"/>
        <v>0.9444558503691356</v>
      </c>
      <c r="AA118" s="166">
        <f t="shared" si="262"/>
        <v>0.90814698897193646</v>
      </c>
      <c r="AB118" s="166">
        <f t="shared" si="262"/>
        <v>0.86750706844554615</v>
      </c>
      <c r="AC118" s="166">
        <f t="shared" si="262"/>
        <v>0.82186918916290364</v>
      </c>
      <c r="AD118" s="166">
        <f t="shared" si="262"/>
        <v>0.77042988085414488</v>
      </c>
      <c r="AE118" s="166">
        <f t="shared" si="262"/>
        <v>0.71221819357737137</v>
      </c>
      <c r="AF118" s="166">
        <f t="shared" si="262"/>
        <v>0.64605900364954372</v>
      </c>
      <c r="AG118" s="166">
        <f t="shared" si="262"/>
        <v>0.57053162135661273</v>
      </c>
      <c r="AH118" s="166">
        <f t="shared" si="262"/>
        <v>0.48392793813163859</v>
      </c>
      <c r="AI118" s="166">
        <f t="shared" ref="AI118:BN118" si="263">ABS(AI101-AI53)</f>
        <v>0.38422127524328553</v>
      </c>
      <c r="AJ118" s="166">
        <f t="shared" si="263"/>
        <v>0.26907155341090572</v>
      </c>
      <c r="AK118" s="166">
        <f t="shared" si="263"/>
        <v>0.13592112123302225</v>
      </c>
      <c r="AL118" s="166">
        <f t="shared" si="263"/>
        <v>1.7711261181893034E-2</v>
      </c>
      <c r="AM118" s="166">
        <f t="shared" si="263"/>
        <v>0.19354456810419274</v>
      </c>
      <c r="AN118" s="166">
        <f t="shared" si="263"/>
        <v>0.39116405498681184</v>
      </c>
      <c r="AO118" s="166">
        <f t="shared" si="263"/>
        <v>0.60568589235349068</v>
      </c>
      <c r="AP118" s="166">
        <f t="shared" si="263"/>
        <v>0.82469608379430004</v>
      </c>
      <c r="AQ118" s="166">
        <f t="shared" si="263"/>
        <v>1.0262819114826385</v>
      </c>
      <c r="AR118" s="166">
        <f t="shared" si="263"/>
        <v>1.1820644557454842</v>
      </c>
      <c r="AS118" s="166">
        <f t="shared" si="263"/>
        <v>1.2630230374179303</v>
      </c>
      <c r="AT118" s="166">
        <f t="shared" si="263"/>
        <v>1.2783061825667497</v>
      </c>
      <c r="AU118" s="166">
        <f t="shared" si="263"/>
        <v>1.226298927405679</v>
      </c>
      <c r="AV118" s="166">
        <f t="shared" si="263"/>
        <v>1.1293397696623171</v>
      </c>
      <c r="AW118" s="166">
        <f t="shared" si="263"/>
        <v>1.0100838280835422</v>
      </c>
      <c r="AX118" s="166">
        <f t="shared" si="263"/>
        <v>0.88512994773803011</v>
      </c>
      <c r="AY118" s="166">
        <f t="shared" si="263"/>
        <v>0.76428313669578651</v>
      </c>
      <c r="AZ118" s="166">
        <f t="shared" si="263"/>
        <v>0.65230788221202851</v>
      </c>
      <c r="BA118" s="166">
        <f t="shared" si="263"/>
        <v>0.55090347117064686</v>
      </c>
      <c r="BB118" s="166">
        <f t="shared" si="263"/>
        <v>0.46013449452843891</v>
      </c>
      <c r="BC118" s="166">
        <f t="shared" si="263"/>
        <v>0.37929667148067914</v>
      </c>
      <c r="BD118" s="166">
        <f t="shared" si="263"/>
        <v>0.30739045920738217</v>
      </c>
      <c r="BE118" s="166">
        <f t="shared" si="263"/>
        <v>0.24336103475568516</v>
      </c>
      <c r="BF118" s="166">
        <f t="shared" si="263"/>
        <v>0.18620981786393798</v>
      </c>
      <c r="BG118" s="166">
        <f t="shared" si="263"/>
        <v>0.13503899693137744</v>
      </c>
      <c r="BH118" s="166">
        <f t="shared" si="263"/>
        <v>8.9062774175485915E-2</v>
      </c>
      <c r="BI118" s="166">
        <f t="shared" si="263"/>
        <v>4.7603131464964532E-2</v>
      </c>
      <c r="BJ118" s="166">
        <f t="shared" si="263"/>
        <v>1.0079233373544438E-2</v>
      </c>
      <c r="BK118" s="166">
        <f t="shared" si="263"/>
        <v>2.4005024191743995E-2</v>
      </c>
      <c r="BL118" s="166">
        <f t="shared" si="263"/>
        <v>5.5073208397068196E-2</v>
      </c>
      <c r="BM118" s="166">
        <f t="shared" si="263"/>
        <v>8.3487397636613281E-2</v>
      </c>
      <c r="BN118" s="166">
        <f t="shared" si="263"/>
        <v>0.10955780006890525</v>
      </c>
      <c r="BO118" s="166">
        <f t="shared" ref="BO118:CG118" si="264">ABS(BO101-BO53)</f>
        <v>0.13355094559240888</v>
      </c>
      <c r="BP118" s="166">
        <f t="shared" si="264"/>
        <v>0.155696577532763</v>
      </c>
      <c r="BQ118" s="166">
        <f t="shared" si="264"/>
        <v>0.17619341214642481</v>
      </c>
      <c r="BR118" s="166">
        <f t="shared" si="264"/>
        <v>0.1952139370199264</v>
      </c>
      <c r="BS118" s="166">
        <f t="shared" si="264"/>
        <v>0.21290840538779499</v>
      </c>
      <c r="BT118" s="166">
        <f t="shared" si="264"/>
        <v>0.22940816326530622</v>
      </c>
      <c r="BU118" s="166">
        <f t="shared" si="264"/>
        <v>0.31430117700331084</v>
      </c>
      <c r="BV118" s="166">
        <f t="shared" si="264"/>
        <v>0.37329974741969285</v>
      </c>
      <c r="BW118" s="166">
        <f t="shared" si="264"/>
        <v>0.4168880563321421</v>
      </c>
      <c r="BX118" s="166">
        <f t="shared" si="264"/>
        <v>0.45067144010323312</v>
      </c>
      <c r="BY118" s="166">
        <f t="shared" si="264"/>
        <v>0.47789181419863569</v>
      </c>
      <c r="BZ118" s="166">
        <f t="shared" si="264"/>
        <v>0.5005413518792422</v>
      </c>
      <c r="CA118" s="166">
        <f t="shared" si="264"/>
        <v>0.51990403197772295</v>
      </c>
      <c r="CB118" s="166">
        <f t="shared" si="264"/>
        <v>0.53683959199569797</v>
      </c>
      <c r="CC118" s="166">
        <f t="shared" si="264"/>
        <v>0.5519418390536901</v>
      </c>
      <c r="CD118" s="166">
        <f t="shared" si="264"/>
        <v>0.56563150743527357</v>
      </c>
      <c r="CE118" s="166">
        <f t="shared" si="264"/>
        <v>0.57821309351145556</v>
      </c>
      <c r="CF118" s="166">
        <f t="shared" si="264"/>
        <v>0.58991092383035648</v>
      </c>
      <c r="CG118" s="166">
        <f t="shared" si="264"/>
        <v>0.60089276638417277</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0.50862687544214047</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v>
      </c>
      <c r="BC119" s="166">
        <f t="shared" si="266"/>
        <v>0</v>
      </c>
      <c r="BD119" s="166">
        <f t="shared" si="266"/>
        <v>0</v>
      </c>
      <c r="BE119" s="166">
        <f t="shared" si="266"/>
        <v>0</v>
      </c>
      <c r="BF119" s="166">
        <f t="shared" si="266"/>
        <v>0</v>
      </c>
      <c r="BG119" s="166">
        <f t="shared" si="266"/>
        <v>0</v>
      </c>
      <c r="BH119" s="166">
        <f t="shared" si="266"/>
        <v>0</v>
      </c>
      <c r="BI119" s="166">
        <f t="shared" si="266"/>
        <v>0.84057971014492805</v>
      </c>
      <c r="BJ119" s="166">
        <f t="shared" si="266"/>
        <v>0.85507246376811641</v>
      </c>
      <c r="BK119" s="166">
        <f t="shared" si="266"/>
        <v>0.86956521739130477</v>
      </c>
      <c r="BL119" s="166">
        <f t="shared" si="266"/>
        <v>0</v>
      </c>
      <c r="BM119" s="166">
        <f t="shared" si="266"/>
        <v>0</v>
      </c>
      <c r="BN119" s="166">
        <f t="shared" si="266"/>
        <v>0</v>
      </c>
      <c r="BO119" s="166">
        <f t="shared" ref="BO119:CG119" si="267">IF(BO118&lt;0.05,BO25,0)</f>
        <v>0</v>
      </c>
      <c r="BP119" s="166">
        <f t="shared" si="267"/>
        <v>0</v>
      </c>
      <c r="BQ119" s="166">
        <f t="shared" si="267"/>
        <v>0</v>
      </c>
      <c r="BR119" s="166">
        <f t="shared" si="267"/>
        <v>0</v>
      </c>
      <c r="BS119" s="166">
        <f t="shared" si="267"/>
        <v>0</v>
      </c>
      <c r="BT119" s="166">
        <f t="shared" si="267"/>
        <v>0</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0.86956521739130477</v>
      </c>
      <c r="CJ119" s="169"/>
      <c r="CL119" s="37"/>
    </row>
    <row r="120" spans="2:90" ht="16.5" customHeight="1">
      <c r="B120" s="166" t="s">
        <v>870</v>
      </c>
      <c r="C120" s="166">
        <f t="shared" ref="C120:AH120" si="268">ABS(C102-C53)</f>
        <v>1.2294081450834875</v>
      </c>
      <c r="D120" s="166">
        <f t="shared" si="268"/>
        <v>1.2289497354030052</v>
      </c>
      <c r="E120" s="166">
        <f t="shared" si="268"/>
        <v>1.2277273542407805</v>
      </c>
      <c r="F120" s="166">
        <f t="shared" si="268"/>
        <v>1.2257290050964875</v>
      </c>
      <c r="G120" s="166">
        <f t="shared" si="268"/>
        <v>1.2229406096274928</v>
      </c>
      <c r="H120" s="166">
        <f t="shared" si="268"/>
        <v>1.2193423125021043</v>
      </c>
      <c r="I120" s="166">
        <f t="shared" si="268"/>
        <v>1.2149081259372814</v>
      </c>
      <c r="J120" s="166">
        <f t="shared" si="268"/>
        <v>1.2096054551189097</v>
      </c>
      <c r="K120" s="166">
        <f t="shared" si="268"/>
        <v>1.2033944881903227</v>
      </c>
      <c r="L120" s="166">
        <f t="shared" si="268"/>
        <v>1.1962274291894002</v>
      </c>
      <c r="M120" s="166">
        <f t="shared" si="268"/>
        <v>1.1880475457619089</v>
      </c>
      <c r="N120" s="166">
        <f t="shared" si="268"/>
        <v>1.1787879952332683</v>
      </c>
      <c r="O120" s="166">
        <f t="shared" si="268"/>
        <v>1.1683703820856988</v>
      </c>
      <c r="P120" s="166">
        <f t="shared" si="268"/>
        <v>1.1567029862510501</v>
      </c>
      <c r="Q120" s="166">
        <f t="shared" si="268"/>
        <v>1.1436785837732752</v>
      </c>
      <c r="R120" s="166">
        <f t="shared" si="268"/>
        <v>1.1291717577599014</v>
      </c>
      <c r="S120" s="166">
        <f t="shared" si="268"/>
        <v>1.1130355659317477</v>
      </c>
      <c r="T120" s="166">
        <f t="shared" si="268"/>
        <v>1.0950973883622515</v>
      </c>
      <c r="U120" s="166">
        <f t="shared" si="268"/>
        <v>1.0751537206550201</v>
      </c>
      <c r="V120" s="166">
        <f t="shared" si="268"/>
        <v>1.0529635972493874</v>
      </c>
      <c r="W120" s="166">
        <f t="shared" si="268"/>
        <v>1.0282402170315208</v>
      </c>
      <c r="X120" s="166">
        <f t="shared" si="268"/>
        <v>1.0006401843922725</v>
      </c>
      <c r="Y120" s="166">
        <f t="shared" si="268"/>
        <v>0.96974955121519035</v>
      </c>
      <c r="Z120" s="166">
        <f t="shared" si="268"/>
        <v>0.93506551501783053</v>
      </c>
      <c r="AA120" s="166">
        <f t="shared" si="268"/>
        <v>0.89597214259733315</v>
      </c>
      <c r="AB120" s="166">
        <f t="shared" si="268"/>
        <v>0.8517077631424399</v>
      </c>
      <c r="AC120" s="166">
        <f t="shared" si="268"/>
        <v>0.8013205751356528</v>
      </c>
      <c r="AD120" s="166">
        <f t="shared" si="268"/>
        <v>0.74360731816572534</v>
      </c>
      <c r="AE120" s="166">
        <f t="shared" si="268"/>
        <v>0.67702721284510903</v>
      </c>
      <c r="AF120" s="166">
        <f t="shared" si="268"/>
        <v>0.59957917030659413</v>
      </c>
      <c r="AG120" s="166">
        <f t="shared" si="268"/>
        <v>0.50862352525207932</v>
      </c>
      <c r="AH120" s="166">
        <f t="shared" si="268"/>
        <v>0.40061864544990433</v>
      </c>
      <c r="AI120" s="166">
        <f t="shared" ref="AI120:BN120" si="269">ABS(AI102-AI53)</f>
        <v>0.27072528701792531</v>
      </c>
      <c r="AJ120" s="166">
        <f t="shared" si="269"/>
        <v>0.11220460190221315</v>
      </c>
      <c r="AK120" s="166">
        <f t="shared" si="269"/>
        <v>8.4500711490510527E-2</v>
      </c>
      <c r="AL120" s="166">
        <f t="shared" si="269"/>
        <v>0.33313865255723329</v>
      </c>
      <c r="AM120" s="166">
        <f t="shared" si="269"/>
        <v>0.65351284567782053</v>
      </c>
      <c r="AN120" s="166">
        <f t="shared" si="269"/>
        <v>1.0731541447499235</v>
      </c>
      <c r="AO120" s="166">
        <f t="shared" si="269"/>
        <v>1.6247621020890872</v>
      </c>
      <c r="AP120" s="166">
        <f t="shared" si="269"/>
        <v>2.3232385447976585</v>
      </c>
      <c r="AQ120" s="166">
        <f t="shared" si="269"/>
        <v>3.0821325328854554</v>
      </c>
      <c r="AR120" s="166">
        <f t="shared" si="269"/>
        <v>3.5935256754647904</v>
      </c>
      <c r="AS120" s="166">
        <f t="shared" si="269"/>
        <v>3.5670439032283081</v>
      </c>
      <c r="AT120" s="166">
        <f t="shared" si="269"/>
        <v>3.1068948425611156</v>
      </c>
      <c r="AU120" s="166">
        <f t="shared" si="269"/>
        <v>2.5316436026017461</v>
      </c>
      <c r="AV120" s="166">
        <f t="shared" si="269"/>
        <v>2.0248299824749347</v>
      </c>
      <c r="AW120" s="166">
        <f t="shared" si="269"/>
        <v>1.6208857905616363</v>
      </c>
      <c r="AX120" s="166">
        <f t="shared" si="269"/>
        <v>1.3055944635412444</v>
      </c>
      <c r="AY120" s="166">
        <f t="shared" si="269"/>
        <v>1.0580272617446693</v>
      </c>
      <c r="AZ120" s="166">
        <f t="shared" si="269"/>
        <v>0.86080812128404394</v>
      </c>
      <c r="BA120" s="166">
        <f t="shared" si="269"/>
        <v>0.70112056815367274</v>
      </c>
      <c r="BB120" s="166">
        <f t="shared" si="269"/>
        <v>0.5697761887512871</v>
      </c>
      <c r="BC120" s="166">
        <f t="shared" si="269"/>
        <v>0.46018281155809704</v>
      </c>
      <c r="BD120" s="166">
        <f t="shared" si="269"/>
        <v>0.3675566064751894</v>
      </c>
      <c r="BE120" s="166">
        <f t="shared" si="269"/>
        <v>0.28837297294751929</v>
      </c>
      <c r="BF120" s="166">
        <f t="shared" si="269"/>
        <v>0.21999310103385117</v>
      </c>
      <c r="BG120" s="166">
        <f t="shared" si="269"/>
        <v>0.16041015592127605</v>
      </c>
      <c r="BH120" s="166">
        <f t="shared" si="269"/>
        <v>0.10807518040115616</v>
      </c>
      <c r="BI120" s="166">
        <f t="shared" si="269"/>
        <v>6.177609200964107E-2</v>
      </c>
      <c r="BJ120" s="166">
        <f t="shared" si="269"/>
        <v>2.0552342001572077E-2</v>
      </c>
      <c r="BK120" s="166">
        <f t="shared" si="269"/>
        <v>1.6366175171619535E-2</v>
      </c>
      <c r="BL120" s="166">
        <f t="shared" si="269"/>
        <v>4.9603490693795882E-2</v>
      </c>
      <c r="BM120" s="166">
        <f t="shared" si="269"/>
        <v>7.9670233887916053E-2</v>
      </c>
      <c r="BN120" s="166">
        <f t="shared" si="269"/>
        <v>0.10698800741353165</v>
      </c>
      <c r="BO120" s="166">
        <f t="shared" ref="BO120:CG120" si="270">ABS(BO102-BO53)</f>
        <v>0.13190779594844182</v>
      </c>
      <c r="BP120" s="166">
        <f t="shared" si="270"/>
        <v>0.15472402859645751</v>
      </c>
      <c r="BQ120" s="166">
        <f t="shared" si="270"/>
        <v>0.1756854363623257</v>
      </c>
      <c r="BR120" s="166">
        <f t="shared" si="270"/>
        <v>0.19500351897423918</v>
      </c>
      <c r="BS120" s="166">
        <f t="shared" si="270"/>
        <v>0.21285920906966505</v>
      </c>
      <c r="BT120" s="166">
        <f t="shared" si="270"/>
        <v>0.22940816326530622</v>
      </c>
      <c r="BU120" s="166">
        <f t="shared" si="270"/>
        <v>0.3129308194669711</v>
      </c>
      <c r="BV120" s="166">
        <f t="shared" si="270"/>
        <v>0.36912379683704089</v>
      </c>
      <c r="BW120" s="166">
        <f t="shared" si="270"/>
        <v>0.40933599432279455</v>
      </c>
      <c r="BX120" s="166">
        <f t="shared" si="270"/>
        <v>0.43946519298623143</v>
      </c>
      <c r="BY120" s="166">
        <f t="shared" si="270"/>
        <v>0.462867921973805</v>
      </c>
      <c r="BZ120" s="166">
        <f t="shared" si="270"/>
        <v>0.48158849278361304</v>
      </c>
      <c r="CA120" s="166">
        <f t="shared" si="270"/>
        <v>0.49693920258711355</v>
      </c>
      <c r="CB120" s="166">
        <f t="shared" si="270"/>
        <v>0.5097985201332017</v>
      </c>
      <c r="CC120" s="166">
        <f t="shared" si="270"/>
        <v>0.52077496631148223</v>
      </c>
      <c r="CD120" s="166">
        <f t="shared" si="270"/>
        <v>0.53030221481441497</v>
      </c>
      <c r="CE120" s="166">
        <f t="shared" si="270"/>
        <v>0.53869681987376339</v>
      </c>
      <c r="CF120" s="166">
        <f t="shared" si="270"/>
        <v>0.54619461097853295</v>
      </c>
      <c r="CG120" s="166">
        <f t="shared" si="270"/>
        <v>0.55297439242349333</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v>
      </c>
      <c r="BD121" s="166">
        <f t="shared" si="272"/>
        <v>0</v>
      </c>
      <c r="BE121" s="166">
        <f t="shared" si="272"/>
        <v>0</v>
      </c>
      <c r="BF121" s="166">
        <f t="shared" si="272"/>
        <v>0</v>
      </c>
      <c r="BG121" s="166">
        <f t="shared" si="272"/>
        <v>0</v>
      </c>
      <c r="BH121" s="166">
        <f t="shared" si="272"/>
        <v>0</v>
      </c>
      <c r="BI121" s="166">
        <f t="shared" si="272"/>
        <v>0</v>
      </c>
      <c r="BJ121" s="166">
        <f t="shared" si="272"/>
        <v>0.85507246376811641</v>
      </c>
      <c r="BK121" s="166">
        <f t="shared" si="272"/>
        <v>0.86956521739130477</v>
      </c>
      <c r="BL121" s="166">
        <f t="shared" si="272"/>
        <v>0.88405797101449313</v>
      </c>
      <c r="BM121" s="166">
        <f t="shared" si="272"/>
        <v>0</v>
      </c>
      <c r="BN121" s="166">
        <f t="shared" si="272"/>
        <v>0</v>
      </c>
      <c r="BO121" s="166">
        <f t="shared" ref="BO121:CG121" si="273">IF(BO120&lt;0.05,BO25,0)</f>
        <v>0</v>
      </c>
      <c r="BP121" s="166">
        <f t="shared" si="273"/>
        <v>0</v>
      </c>
      <c r="BQ121" s="166">
        <f t="shared" si="273"/>
        <v>0</v>
      </c>
      <c r="BR121" s="166">
        <f t="shared" si="273"/>
        <v>0</v>
      </c>
      <c r="BS121" s="166">
        <f t="shared" si="273"/>
        <v>0</v>
      </c>
      <c r="BT121" s="166">
        <f t="shared" si="273"/>
        <v>0</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0.88405797101449313</v>
      </c>
      <c r="CJ121" s="170"/>
      <c r="CK121" s="47"/>
      <c r="CL121" s="48"/>
    </row>
    <row r="122" spans="2:90" ht="17.25" customHeight="1"/>
    <row r="123" spans="2:90" ht="16.5" customHeight="1">
      <c r="B123" s="166" t="s">
        <v>871</v>
      </c>
      <c r="C123" s="166">
        <f t="shared" ref="C123:AH123" si="274">ABS(C108-C70)</f>
        <v>0.90631529257262422</v>
      </c>
      <c r="D123" s="166">
        <f t="shared" si="274"/>
        <v>0.90585690388572526</v>
      </c>
      <c r="E123" s="166">
        <f t="shared" si="274"/>
        <v>0.90463478403790121</v>
      </c>
      <c r="F123" s="166">
        <f t="shared" si="274"/>
        <v>0.90263750595284242</v>
      </c>
      <c r="G123" s="166">
        <f t="shared" si="274"/>
        <v>0.89985194238990363</v>
      </c>
      <c r="H123" s="166">
        <f t="shared" si="274"/>
        <v>0.8962596076423488</v>
      </c>
      <c r="I123" s="166">
        <f t="shared" si="274"/>
        <v>0.89183635599107636</v>
      </c>
      <c r="J123" s="166">
        <f t="shared" si="274"/>
        <v>0.8865519811698177</v>
      </c>
      <c r="K123" s="166">
        <f t="shared" si="274"/>
        <v>0.88036970484114485</v>
      </c>
      <c r="L123" s="166">
        <f t="shared" si="274"/>
        <v>0.87324553839133845</v>
      </c>
      <c r="M123" s="166">
        <f t="shared" si="274"/>
        <v>0.86512749792291088</v>
      </c>
      <c r="N123" s="166">
        <f t="shared" si="274"/>
        <v>0.85595464692277967</v>
      </c>
      <c r="O123" s="166">
        <f t="shared" si="274"/>
        <v>0.84565593441540821</v>
      </c>
      <c r="P123" s="166">
        <f t="shared" si="274"/>
        <v>0.83414878809406645</v>
      </c>
      <c r="Q123" s="166">
        <f t="shared" si="274"/>
        <v>0.82133741147058081</v>
      </c>
      <c r="R123" s="166">
        <f t="shared" si="274"/>
        <v>0.80711072086247493</v>
      </c>
      <c r="S123" s="166">
        <f t="shared" si="274"/>
        <v>0.79133984122954204</v>
      </c>
      <c r="T123" s="166">
        <f t="shared" si="274"/>
        <v>0.77387505842825066</v>
      </c>
      <c r="U123" s="166">
        <f t="shared" si="274"/>
        <v>0.7545420980297961</v>
      </c>
      <c r="V123" s="166">
        <f t="shared" si="274"/>
        <v>0.73313756575955302</v>
      </c>
      <c r="W123" s="166">
        <f t="shared" si="274"/>
        <v>0.70942333980157257</v>
      </c>
      <c r="X123" s="166">
        <f t="shared" si="274"/>
        <v>0.68311964828043403</v>
      </c>
      <c r="Y123" s="166">
        <f t="shared" si="274"/>
        <v>0.65389649368537839</v>
      </c>
      <c r="Z123" s="166">
        <f t="shared" si="274"/>
        <v>0.6213629978582722</v>
      </c>
      <c r="AA123" s="166">
        <f t="shared" si="274"/>
        <v>0.58505413646107307</v>
      </c>
      <c r="AB123" s="166">
        <f t="shared" si="274"/>
        <v>0.54441421593468275</v>
      </c>
      <c r="AC123" s="166">
        <f t="shared" si="274"/>
        <v>0.49877633665204024</v>
      </c>
      <c r="AD123" s="166">
        <f t="shared" si="274"/>
        <v>0.44733702834328148</v>
      </c>
      <c r="AE123" s="166">
        <f t="shared" si="274"/>
        <v>0.38912534106650787</v>
      </c>
      <c r="AF123" s="166">
        <f t="shared" si="274"/>
        <v>0.32296615113868032</v>
      </c>
      <c r="AG123" s="166">
        <f t="shared" si="274"/>
        <v>0.24743876884574934</v>
      </c>
      <c r="AH123" s="166">
        <f t="shared" si="274"/>
        <v>0.16083508562077498</v>
      </c>
      <c r="AI123" s="166">
        <f t="shared" ref="AI123:BN123" si="275">ABS(AI108-AI70)</f>
        <v>6.1128422732422139E-2</v>
      </c>
      <c r="AJ123" s="166">
        <f t="shared" si="275"/>
        <v>5.4021299099957787E-2</v>
      </c>
      <c r="AK123" s="166">
        <f t="shared" si="275"/>
        <v>0.18717173127784137</v>
      </c>
      <c r="AL123" s="166">
        <f t="shared" si="275"/>
        <v>0.34080411369275665</v>
      </c>
      <c r="AM123" s="166">
        <f t="shared" si="275"/>
        <v>0.51663742061505635</v>
      </c>
      <c r="AN123" s="166">
        <f t="shared" si="275"/>
        <v>0.71425690749767567</v>
      </c>
      <c r="AO123" s="166">
        <f t="shared" si="275"/>
        <v>0.9287787448643543</v>
      </c>
      <c r="AP123" s="166">
        <f t="shared" si="275"/>
        <v>1.1477889363051639</v>
      </c>
      <c r="AQ123" s="166">
        <f t="shared" si="275"/>
        <v>1.3493747639935023</v>
      </c>
      <c r="AR123" s="166">
        <f t="shared" si="275"/>
        <v>1.5051573082563485</v>
      </c>
      <c r="AS123" s="166">
        <f t="shared" si="275"/>
        <v>1.5861158899287942</v>
      </c>
      <c r="AT123" s="166">
        <f t="shared" si="275"/>
        <v>1.6013990350776139</v>
      </c>
      <c r="AU123" s="166">
        <f t="shared" si="275"/>
        <v>1.5493917799165429</v>
      </c>
      <c r="AV123" s="166">
        <f t="shared" si="275"/>
        <v>1.4524326221731814</v>
      </c>
      <c r="AW123" s="166">
        <f t="shared" si="275"/>
        <v>1.3331766805944056</v>
      </c>
      <c r="AX123" s="166">
        <f t="shared" si="275"/>
        <v>1.2082228002488939</v>
      </c>
      <c r="AY123" s="166">
        <f t="shared" si="275"/>
        <v>1.0873759892066504</v>
      </c>
      <c r="AZ123" s="166">
        <f t="shared" si="275"/>
        <v>0.9754007347228919</v>
      </c>
      <c r="BA123" s="166">
        <f t="shared" si="275"/>
        <v>0.87399632368151026</v>
      </c>
      <c r="BB123" s="166">
        <f t="shared" si="275"/>
        <v>0.7832273470393023</v>
      </c>
      <c r="BC123" s="166">
        <f t="shared" si="275"/>
        <v>0.70238952399154253</v>
      </c>
      <c r="BD123" s="166">
        <f t="shared" si="275"/>
        <v>0.63048331171824556</v>
      </c>
      <c r="BE123" s="166">
        <f t="shared" si="275"/>
        <v>0.56645388726654855</v>
      </c>
      <c r="BF123" s="166">
        <f t="shared" si="275"/>
        <v>0.50930267037480137</v>
      </c>
      <c r="BG123" s="166">
        <f t="shared" si="275"/>
        <v>0.45813184944224083</v>
      </c>
      <c r="BH123" s="166">
        <f t="shared" si="275"/>
        <v>0.41215562668634931</v>
      </c>
      <c r="BI123" s="166">
        <f t="shared" si="275"/>
        <v>0.37069598397582793</v>
      </c>
      <c r="BJ123" s="166">
        <f t="shared" si="275"/>
        <v>0.33317208588440783</v>
      </c>
      <c r="BK123" s="166">
        <f t="shared" si="275"/>
        <v>0.2990878283191194</v>
      </c>
      <c r="BL123" s="166">
        <f t="shared" si="275"/>
        <v>0.2680196441137952</v>
      </c>
      <c r="BM123" s="166">
        <f t="shared" si="275"/>
        <v>0.23960545487425011</v>
      </c>
      <c r="BN123" s="166">
        <f t="shared" si="275"/>
        <v>0.21353505244195814</v>
      </c>
      <c r="BO123" s="166">
        <f t="shared" ref="BO123:CG123" si="276">ABS(BO108-BO70)</f>
        <v>0.18954190691845452</v>
      </c>
      <c r="BP123" s="166">
        <f t="shared" si="276"/>
        <v>0.16739627497810039</v>
      </c>
      <c r="BQ123" s="166">
        <f t="shared" si="276"/>
        <v>0.14689944036443858</v>
      </c>
      <c r="BR123" s="166">
        <f t="shared" si="276"/>
        <v>0.127878915490937</v>
      </c>
      <c r="BS123" s="166">
        <f t="shared" si="276"/>
        <v>0.11018444712306841</v>
      </c>
      <c r="BT123" s="166">
        <f t="shared" si="276"/>
        <v>9.3684689245557173E-2</v>
      </c>
      <c r="BU123" s="166">
        <f t="shared" si="276"/>
        <v>8.7916755075525543E-3</v>
      </c>
      <c r="BV123" s="166">
        <f t="shared" si="276"/>
        <v>5.0206894908829458E-2</v>
      </c>
      <c r="BW123" s="166">
        <f t="shared" si="276"/>
        <v>9.3795203821278705E-2</v>
      </c>
      <c r="BX123" s="166">
        <f t="shared" si="276"/>
        <v>0.12757858759236973</v>
      </c>
      <c r="BY123" s="166">
        <f t="shared" si="276"/>
        <v>0.1547989616877723</v>
      </c>
      <c r="BZ123" s="166">
        <f t="shared" si="276"/>
        <v>0.17744849936837881</v>
      </c>
      <c r="CA123" s="166">
        <f t="shared" si="276"/>
        <v>0.19681117946685944</v>
      </c>
      <c r="CB123" s="166">
        <f t="shared" si="276"/>
        <v>0.21374673948483458</v>
      </c>
      <c r="CC123" s="166">
        <f t="shared" si="276"/>
        <v>0.2288489865428267</v>
      </c>
      <c r="CD123" s="166">
        <f t="shared" si="276"/>
        <v>0.24253865492441018</v>
      </c>
      <c r="CE123" s="166">
        <f t="shared" si="276"/>
        <v>0.25512024100059216</v>
      </c>
      <c r="CF123" s="166">
        <f t="shared" si="276"/>
        <v>0.26681807131949309</v>
      </c>
      <c r="CG123" s="166">
        <f t="shared" si="276"/>
        <v>0.27779991387330938</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v>
      </c>
      <c r="BL124" s="166">
        <f t="shared" si="278"/>
        <v>0</v>
      </c>
      <c r="BM124" s="166">
        <f t="shared" si="278"/>
        <v>0</v>
      </c>
      <c r="BN124" s="166">
        <f t="shared" si="278"/>
        <v>0</v>
      </c>
      <c r="BO124" s="166">
        <f t="shared" ref="BO124:CG124" si="279">IF(BO123&lt;0.05,BO25,0)</f>
        <v>0</v>
      </c>
      <c r="BP124" s="166">
        <f t="shared" si="279"/>
        <v>0</v>
      </c>
      <c r="BQ124" s="166">
        <f t="shared" si="279"/>
        <v>0</v>
      </c>
      <c r="BR124" s="166">
        <f t="shared" si="279"/>
        <v>0</v>
      </c>
      <c r="BS124" s="166">
        <f t="shared" si="279"/>
        <v>0</v>
      </c>
      <c r="BT124" s="166">
        <f t="shared" si="279"/>
        <v>0</v>
      </c>
      <c r="BU124" s="166">
        <f t="shared" si="279"/>
        <v>1.0941598358762417</v>
      </c>
      <c r="BV124" s="166">
        <f t="shared" si="279"/>
        <v>0</v>
      </c>
      <c r="BW124" s="166">
        <f t="shared" si="279"/>
        <v>0</v>
      </c>
      <c r="BX124" s="166">
        <f t="shared" si="279"/>
        <v>0</v>
      </c>
      <c r="BY124" s="166">
        <f t="shared" si="279"/>
        <v>0</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1.0941598358762417</v>
      </c>
      <c r="CJ124" s="169">
        <f>SUM(CI124:CI130)/4</f>
        <v>1.164779712783423</v>
      </c>
      <c r="CK124" s="21">
        <f>CJ124*'Design Spec'!D112</f>
        <v>256.25153681235304</v>
      </c>
      <c r="CL124" s="37" t="s">
        <v>187</v>
      </c>
    </row>
    <row r="125" spans="2:90" ht="16.5" customHeight="1">
      <c r="B125" s="166" t="s">
        <v>872</v>
      </c>
      <c r="C125" s="166">
        <f t="shared" ref="C125:AH125" si="280">ABS(C109-C70)</f>
        <v>0.90631529257262411</v>
      </c>
      <c r="D125" s="166">
        <f t="shared" si="280"/>
        <v>0.90585689163981875</v>
      </c>
      <c r="E125" s="166">
        <f t="shared" si="280"/>
        <v>0.9046346193755328</v>
      </c>
      <c r="F125" s="166">
        <f t="shared" si="280"/>
        <v>0.90263671667017564</v>
      </c>
      <c r="G125" s="166">
        <f t="shared" si="280"/>
        <v>0.89984950196832769</v>
      </c>
      <c r="H125" s="166">
        <f t="shared" si="280"/>
        <v>0.89625369191133564</v>
      </c>
      <c r="I125" s="166">
        <f t="shared" si="280"/>
        <v>0.89182406901444244</v>
      </c>
      <c r="J125" s="166">
        <f t="shared" si="280"/>
        <v>0.88652903892748514</v>
      </c>
      <c r="K125" s="166">
        <f t="shared" si="280"/>
        <v>0.88033006287638949</v>
      </c>
      <c r="L125" s="166">
        <f t="shared" si="280"/>
        <v>0.87318094630231347</v>
      </c>
      <c r="M125" s="166">
        <f t="shared" si="280"/>
        <v>0.86502695912261074</v>
      </c>
      <c r="N125" s="166">
        <f t="shared" si="280"/>
        <v>0.85580375608713521</v>
      </c>
      <c r="O125" s="166">
        <f t="shared" si="280"/>
        <v>0.84543605694083357</v>
      </c>
      <c r="P125" s="166">
        <f t="shared" si="280"/>
        <v>0.83383603492478231</v>
      </c>
      <c r="Q125" s="166">
        <f t="shared" si="280"/>
        <v>0.82090134773972101</v>
      </c>
      <c r="R125" s="166">
        <f t="shared" si="280"/>
        <v>0.80651272635445603</v>
      </c>
      <c r="S125" s="166">
        <f t="shared" si="280"/>
        <v>0.79053101245425939</v>
      </c>
      <c r="T125" s="166">
        <f t="shared" si="280"/>
        <v>0.77279350280573222</v>
      </c>
      <c r="U125" s="166">
        <f t="shared" si="280"/>
        <v>0.75310941546750643</v>
      </c>
      <c r="V125" s="166">
        <f t="shared" si="280"/>
        <v>0.73125423455236083</v>
      </c>
      <c r="W125" s="166">
        <f t="shared" si="280"/>
        <v>0.70696261146028605</v>
      </c>
      <c r="X125" s="166">
        <f t="shared" si="280"/>
        <v>0.67991939314016292</v>
      </c>
      <c r="Y125" s="166">
        <f t="shared" si="280"/>
        <v>0.64974820069174</v>
      </c>
      <c r="Z125" s="166">
        <f t="shared" si="280"/>
        <v>0.61599677857346835</v>
      </c>
      <c r="AA125" s="166">
        <f t="shared" si="280"/>
        <v>0.57811805363653013</v>
      </c>
      <c r="AB125" s="166">
        <f t="shared" si="280"/>
        <v>0.53544545383078401</v>
      </c>
      <c r="AC125" s="166">
        <f t="shared" si="280"/>
        <v>0.48716049904571757</v>
      </c>
      <c r="AD125" s="166">
        <f t="shared" si="280"/>
        <v>0.4322499440313497</v>
      </c>
      <c r="AE125" s="166">
        <f t="shared" si="280"/>
        <v>0.36944878304175366</v>
      </c>
      <c r="AF125" s="166">
        <f t="shared" si="280"/>
        <v>0.29716421992113873</v>
      </c>
      <c r="AG125" s="166">
        <f t="shared" si="280"/>
        <v>0.21337442945318352</v>
      </c>
      <c r="AH125" s="166">
        <f t="shared" si="280"/>
        <v>0.11549522799737133</v>
      </c>
      <c r="AI125" s="166">
        <f t="shared" ref="AI125:BN125" si="281">ABS(AI109-AI70)</f>
        <v>2.0958997320685846E-4</v>
      </c>
      <c r="AJ125" s="166">
        <f t="shared" si="281"/>
        <v>0.13673527709243039</v>
      </c>
      <c r="AK125" s="166">
        <f t="shared" si="281"/>
        <v>0.30072649899387094</v>
      </c>
      <c r="AL125" s="166">
        <f t="shared" si="281"/>
        <v>0.49835227437933494</v>
      </c>
      <c r="AM125" s="166">
        <f t="shared" si="281"/>
        <v>0.73697511027945106</v>
      </c>
      <c r="AN125" s="166">
        <f t="shared" si="281"/>
        <v>1.0229071855999206</v>
      </c>
      <c r="AO125" s="166">
        <f t="shared" si="281"/>
        <v>1.3562877974405692</v>
      </c>
      <c r="AP125" s="166">
        <f t="shared" si="281"/>
        <v>1.7200878430407394</v>
      </c>
      <c r="AQ125" s="166">
        <f t="shared" si="281"/>
        <v>2.0649611077349914</v>
      </c>
      <c r="AR125" s="166">
        <f t="shared" si="281"/>
        <v>2.3089795443401937</v>
      </c>
      <c r="AS125" s="166">
        <f t="shared" si="281"/>
        <v>2.3829460157278128</v>
      </c>
      <c r="AT125" s="166">
        <f t="shared" si="281"/>
        <v>2.2998722213172047</v>
      </c>
      <c r="AU125" s="166">
        <f t="shared" si="281"/>
        <v>2.1042677944021455</v>
      </c>
      <c r="AV125" s="166">
        <f t="shared" si="281"/>
        <v>1.8674695670587833</v>
      </c>
      <c r="AW125" s="166">
        <f t="shared" si="281"/>
        <v>1.6346639367957017</v>
      </c>
      <c r="AX125" s="166">
        <f t="shared" si="281"/>
        <v>1.425192552987407</v>
      </c>
      <c r="AY125" s="166">
        <f t="shared" si="281"/>
        <v>1.243786674810671</v>
      </c>
      <c r="AZ125" s="166">
        <f t="shared" si="281"/>
        <v>1.0889402904658758</v>
      </c>
      <c r="BA125" s="166">
        <f t="shared" si="281"/>
        <v>0.95714287929385922</v>
      </c>
      <c r="BB125" s="166">
        <f t="shared" si="281"/>
        <v>0.84465181094487196</v>
      </c>
      <c r="BC125" s="166">
        <f t="shared" si="281"/>
        <v>0.74811730694912248</v>
      </c>
      <c r="BD125" s="166">
        <f t="shared" si="281"/>
        <v>0.66473360035917883</v>
      </c>
      <c r="BE125" s="166">
        <f t="shared" si="281"/>
        <v>0.59221483786368534</v>
      </c>
      <c r="BF125" s="166">
        <f t="shared" si="281"/>
        <v>0.52871818345727695</v>
      </c>
      <c r="BG125" s="166">
        <f t="shared" si="281"/>
        <v>0.47276085088059294</v>
      </c>
      <c r="BH125" s="166">
        <f t="shared" si="281"/>
        <v>0.42314676367757698</v>
      </c>
      <c r="BI125" s="166">
        <f t="shared" si="281"/>
        <v>0.37890642557443921</v>
      </c>
      <c r="BJ125" s="166">
        <f t="shared" si="281"/>
        <v>0.33924923463716117</v>
      </c>
      <c r="BK125" s="166">
        <f t="shared" si="281"/>
        <v>0.30352621496910426</v>
      </c>
      <c r="BL125" s="166">
        <f t="shared" si="281"/>
        <v>0.27120104013317481</v>
      </c>
      <c r="BM125" s="166">
        <f t="shared" si="281"/>
        <v>0.24182750351421811</v>
      </c>
      <c r="BN125" s="166">
        <f t="shared" si="281"/>
        <v>0.21503194996647279</v>
      </c>
      <c r="BO125" s="166">
        <f t="shared" ref="BO125:CG125" si="282">ABS(BO109-BO70)</f>
        <v>0.19049951311414381</v>
      </c>
      <c r="BP125" s="166">
        <f t="shared" si="282"/>
        <v>0.16796327412812428</v>
      </c>
      <c r="BQ125" s="166">
        <f t="shared" si="282"/>
        <v>0.1471956702638535</v>
      </c>
      <c r="BR125" s="166">
        <f t="shared" si="282"/>
        <v>0.1280016437435858</v>
      </c>
      <c r="BS125" s="166">
        <f t="shared" si="282"/>
        <v>0.11021314410725602</v>
      </c>
      <c r="BT125" s="166">
        <f t="shared" si="282"/>
        <v>9.3684689245557173E-2</v>
      </c>
      <c r="BU125" s="166">
        <f t="shared" si="282"/>
        <v>9.5903029847110854E-3</v>
      </c>
      <c r="BV125" s="166">
        <f t="shared" si="282"/>
        <v>4.7778337058999476E-2</v>
      </c>
      <c r="BW125" s="166">
        <f t="shared" si="282"/>
        <v>8.9415339776628855E-2</v>
      </c>
      <c r="BX125" s="166">
        <f t="shared" si="282"/>
        <v>0.12110009755988937</v>
      </c>
      <c r="BY125" s="166">
        <f t="shared" si="282"/>
        <v>0.14614373583279117</v>
      </c>
      <c r="BZ125" s="166">
        <f t="shared" si="282"/>
        <v>0.16657065564928075</v>
      </c>
      <c r="CA125" s="166">
        <f t="shared" si="282"/>
        <v>0.18368285788557848</v>
      </c>
      <c r="CB125" s="166">
        <f t="shared" si="282"/>
        <v>0.19835227793174759</v>
      </c>
      <c r="CC125" s="166">
        <f t="shared" si="282"/>
        <v>0.21118236823830738</v>
      </c>
      <c r="CD125" s="166">
        <f t="shared" si="282"/>
        <v>0.2226022674617677</v>
      </c>
      <c r="CE125" s="166">
        <f t="shared" si="282"/>
        <v>0.23292415431863722</v>
      </c>
      <c r="CF125" s="166">
        <f t="shared" si="282"/>
        <v>0.24237950496649796</v>
      </c>
      <c r="CG125" s="166">
        <f t="shared" si="282"/>
        <v>0.25114275717614198</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v>
      </c>
      <c r="AF126" s="166">
        <f t="shared" si="283"/>
        <v>0</v>
      </c>
      <c r="AG126" s="166">
        <f t="shared" si="283"/>
        <v>0</v>
      </c>
      <c r="AH126" s="166">
        <f t="shared" si="283"/>
        <v>0</v>
      </c>
      <c r="AI126" s="166">
        <f t="shared" ref="AI126:BN126" si="284">IF(AI125&lt;0.05,AI25,0)</f>
        <v>0.46514861457257523</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v>
      </c>
      <c r="BL126" s="166">
        <f t="shared" si="284"/>
        <v>0</v>
      </c>
      <c r="BM126" s="166">
        <f t="shared" si="284"/>
        <v>0</v>
      </c>
      <c r="BN126" s="166">
        <f t="shared" si="284"/>
        <v>0</v>
      </c>
      <c r="BO126" s="166">
        <f t="shared" ref="BO126:CG126" si="285">IF(BO125&lt;0.05,BO25,0)</f>
        <v>0</v>
      </c>
      <c r="BP126" s="166">
        <f t="shared" si="285"/>
        <v>0</v>
      </c>
      <c r="BQ126" s="166">
        <f t="shared" si="285"/>
        <v>0</v>
      </c>
      <c r="BR126" s="166">
        <f t="shared" si="285"/>
        <v>0</v>
      </c>
      <c r="BS126" s="166">
        <f t="shared" si="285"/>
        <v>0</v>
      </c>
      <c r="BT126" s="166">
        <f t="shared" si="285"/>
        <v>0</v>
      </c>
      <c r="BU126" s="166">
        <f t="shared" si="285"/>
        <v>1.0941598358762417</v>
      </c>
      <c r="BV126" s="166">
        <f t="shared" si="285"/>
        <v>1.1883196717524833</v>
      </c>
      <c r="BW126" s="166">
        <f t="shared" si="285"/>
        <v>0</v>
      </c>
      <c r="BX126" s="166">
        <f t="shared" si="285"/>
        <v>0</v>
      </c>
      <c r="BY126" s="166">
        <f t="shared" si="285"/>
        <v>0</v>
      </c>
      <c r="BZ126" s="166">
        <f t="shared" si="285"/>
        <v>0</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1.1883196717524833</v>
      </c>
      <c r="CJ126" s="169"/>
      <c r="CK126" s="21">
        <f>CI126*'Design Spec'!D112</f>
        <v>261.43032778554635</v>
      </c>
      <c r="CL126" s="37"/>
    </row>
    <row r="127" spans="2:90" ht="16.5" customHeight="1">
      <c r="B127" s="166" t="s">
        <v>873</v>
      </c>
      <c r="C127" s="166">
        <f t="shared" ref="C127:AH127" si="286">ABS(C110-C70)</f>
        <v>0.90631529257262411</v>
      </c>
      <c r="D127" s="166">
        <f t="shared" si="286"/>
        <v>0.90585688289214172</v>
      </c>
      <c r="E127" s="166">
        <f t="shared" si="286"/>
        <v>0.90463450172991711</v>
      </c>
      <c r="F127" s="166">
        <f t="shared" si="286"/>
        <v>0.90263615258562402</v>
      </c>
      <c r="G127" s="166">
        <f t="shared" si="286"/>
        <v>0.89984775711662945</v>
      </c>
      <c r="H127" s="166">
        <f t="shared" si="286"/>
        <v>0.89624945999124095</v>
      </c>
      <c r="I127" s="166">
        <f t="shared" si="286"/>
        <v>0.89181527342641809</v>
      </c>
      <c r="J127" s="166">
        <f t="shared" si="286"/>
        <v>0.88651260260804621</v>
      </c>
      <c r="K127" s="166">
        <f t="shared" si="286"/>
        <v>0.8803016356794594</v>
      </c>
      <c r="L127" s="166">
        <f t="shared" si="286"/>
        <v>0.87313457667853678</v>
      </c>
      <c r="M127" s="166">
        <f t="shared" si="286"/>
        <v>0.86495469325104546</v>
      </c>
      <c r="N127" s="166">
        <f t="shared" si="286"/>
        <v>0.85569514272240488</v>
      </c>
      <c r="O127" s="166">
        <f t="shared" si="286"/>
        <v>0.84527752957483537</v>
      </c>
      <c r="P127" s="166">
        <f t="shared" si="286"/>
        <v>0.83361013374018655</v>
      </c>
      <c r="Q127" s="166">
        <f t="shared" si="286"/>
        <v>0.82058573126241197</v>
      </c>
      <c r="R127" s="166">
        <f t="shared" si="286"/>
        <v>0.80607890524903791</v>
      </c>
      <c r="S127" s="166">
        <f t="shared" si="286"/>
        <v>0.78994271342088429</v>
      </c>
      <c r="T127" s="166">
        <f t="shared" si="286"/>
        <v>0.77200453585138806</v>
      </c>
      <c r="U127" s="166">
        <f t="shared" si="286"/>
        <v>0.75206086814415662</v>
      </c>
      <c r="V127" s="166">
        <f t="shared" si="286"/>
        <v>0.72987074473852409</v>
      </c>
      <c r="W127" s="166">
        <f t="shared" si="286"/>
        <v>0.70514736452065752</v>
      </c>
      <c r="X127" s="166">
        <f t="shared" si="286"/>
        <v>0.67754733188140903</v>
      </c>
      <c r="Y127" s="166">
        <f t="shared" si="286"/>
        <v>0.64665669870432696</v>
      </c>
      <c r="Z127" s="166">
        <f t="shared" si="286"/>
        <v>0.61197266250696714</v>
      </c>
      <c r="AA127" s="166">
        <f t="shared" si="286"/>
        <v>0.57287929008646965</v>
      </c>
      <c r="AB127" s="166">
        <f t="shared" si="286"/>
        <v>0.5286149106315764</v>
      </c>
      <c r="AC127" s="166">
        <f t="shared" si="286"/>
        <v>0.4782277226247893</v>
      </c>
      <c r="AD127" s="166">
        <f t="shared" si="286"/>
        <v>0.42051446565486195</v>
      </c>
      <c r="AE127" s="166">
        <f t="shared" si="286"/>
        <v>0.35393436033424563</v>
      </c>
      <c r="AF127" s="166">
        <f t="shared" si="286"/>
        <v>0.27648631779573074</v>
      </c>
      <c r="AG127" s="166">
        <f t="shared" si="286"/>
        <v>0.18553067274121593</v>
      </c>
      <c r="AH127" s="166">
        <f t="shared" si="286"/>
        <v>7.7525792939040938E-2</v>
      </c>
      <c r="AI127" s="166">
        <f t="shared" ref="AI127:BN127" si="287">ABS(AI110-AI70)</f>
        <v>5.2367565492938084E-2</v>
      </c>
      <c r="AJ127" s="166">
        <f t="shared" si="287"/>
        <v>0.21088825060865046</v>
      </c>
      <c r="AK127" s="166">
        <f t="shared" si="287"/>
        <v>0.40759356400137392</v>
      </c>
      <c r="AL127" s="166">
        <f t="shared" si="287"/>
        <v>0.65623150506809691</v>
      </c>
      <c r="AM127" s="166">
        <f t="shared" si="287"/>
        <v>0.97660569818868392</v>
      </c>
      <c r="AN127" s="166">
        <f t="shared" si="287"/>
        <v>1.3962469972607869</v>
      </c>
      <c r="AO127" s="166">
        <f t="shared" si="287"/>
        <v>1.9478549545999506</v>
      </c>
      <c r="AP127" s="166">
        <f t="shared" si="287"/>
        <v>2.646331397308523</v>
      </c>
      <c r="AQ127" s="166">
        <f t="shared" si="287"/>
        <v>3.4052253853963199</v>
      </c>
      <c r="AR127" s="166">
        <f t="shared" si="287"/>
        <v>3.9166185279756558</v>
      </c>
      <c r="AS127" s="166">
        <f t="shared" si="287"/>
        <v>3.8901367557391726</v>
      </c>
      <c r="AT127" s="166">
        <f t="shared" si="287"/>
        <v>3.4299876950719801</v>
      </c>
      <c r="AU127" s="166">
        <f t="shared" si="287"/>
        <v>2.8547364551126102</v>
      </c>
      <c r="AV127" s="166">
        <f t="shared" si="287"/>
        <v>2.3479228349857992</v>
      </c>
      <c r="AW127" s="166">
        <f t="shared" si="287"/>
        <v>1.9439786430724997</v>
      </c>
      <c r="AX127" s="166">
        <f t="shared" si="287"/>
        <v>1.6286873160521083</v>
      </c>
      <c r="AY127" s="166">
        <f t="shared" si="287"/>
        <v>1.3811201142555327</v>
      </c>
      <c r="AZ127" s="166">
        <f t="shared" si="287"/>
        <v>1.1839009737949073</v>
      </c>
      <c r="BA127" s="166">
        <f t="shared" si="287"/>
        <v>1.0242134206645361</v>
      </c>
      <c r="BB127" s="166">
        <f t="shared" si="287"/>
        <v>0.8928690412621505</v>
      </c>
      <c r="BC127" s="166">
        <f t="shared" si="287"/>
        <v>0.78327566406896043</v>
      </c>
      <c r="BD127" s="166">
        <f t="shared" si="287"/>
        <v>0.69064945898605279</v>
      </c>
      <c r="BE127" s="166">
        <f t="shared" si="287"/>
        <v>0.61146582545838268</v>
      </c>
      <c r="BF127" s="166">
        <f t="shared" si="287"/>
        <v>0.54308595354471456</v>
      </c>
      <c r="BG127" s="166">
        <f t="shared" si="287"/>
        <v>0.48350300843213945</v>
      </c>
      <c r="BH127" s="166">
        <f t="shared" si="287"/>
        <v>0.43116803291201955</v>
      </c>
      <c r="BI127" s="166">
        <f t="shared" si="287"/>
        <v>0.38486894452050446</v>
      </c>
      <c r="BJ127" s="166">
        <f t="shared" si="287"/>
        <v>0.34364519451243547</v>
      </c>
      <c r="BK127" s="166">
        <f t="shared" si="287"/>
        <v>0.30672667733924386</v>
      </c>
      <c r="BL127" s="166">
        <f t="shared" si="287"/>
        <v>0.27348936181706751</v>
      </c>
      <c r="BM127" s="166">
        <f t="shared" si="287"/>
        <v>0.24342261862294734</v>
      </c>
      <c r="BN127" s="166">
        <f t="shared" si="287"/>
        <v>0.21610484509733174</v>
      </c>
      <c r="BO127" s="166">
        <f t="shared" ref="BO127:CG127" si="288">ABS(BO110-BO70)</f>
        <v>0.19118505656242157</v>
      </c>
      <c r="BP127" s="166">
        <f t="shared" si="288"/>
        <v>0.16836882391440589</v>
      </c>
      <c r="BQ127" s="166">
        <f t="shared" si="288"/>
        <v>0.1474074161485377</v>
      </c>
      <c r="BR127" s="166">
        <f t="shared" si="288"/>
        <v>0.12808933353662422</v>
      </c>
      <c r="BS127" s="166">
        <f t="shared" si="288"/>
        <v>0.11023364344119835</v>
      </c>
      <c r="BT127" s="166">
        <f t="shared" si="288"/>
        <v>9.3684689245557173E-2</v>
      </c>
      <c r="BU127" s="166">
        <f t="shared" si="288"/>
        <v>1.0162033043892293E-2</v>
      </c>
      <c r="BV127" s="166">
        <f t="shared" si="288"/>
        <v>4.6030944326177492E-2</v>
      </c>
      <c r="BW127" s="166">
        <f t="shared" si="288"/>
        <v>8.6243141811931157E-2</v>
      </c>
      <c r="BX127" s="166">
        <f t="shared" si="288"/>
        <v>0.11637234047536804</v>
      </c>
      <c r="BY127" s="166">
        <f t="shared" si="288"/>
        <v>0.1397750694629416</v>
      </c>
      <c r="BZ127" s="166">
        <f t="shared" si="288"/>
        <v>0.15849564027274954</v>
      </c>
      <c r="CA127" s="166">
        <f t="shared" si="288"/>
        <v>0.17384635007625016</v>
      </c>
      <c r="CB127" s="166">
        <f t="shared" si="288"/>
        <v>0.18670566762233831</v>
      </c>
      <c r="CC127" s="166">
        <f t="shared" si="288"/>
        <v>0.19768211380061884</v>
      </c>
      <c r="CD127" s="166">
        <f t="shared" si="288"/>
        <v>0.20720936230355158</v>
      </c>
      <c r="CE127" s="166">
        <f t="shared" si="288"/>
        <v>0.2156039673629</v>
      </c>
      <c r="CF127" s="166">
        <f t="shared" si="288"/>
        <v>0.22310175846766955</v>
      </c>
      <c r="CG127" s="166">
        <f t="shared" si="288"/>
        <v>0.22988153991262994</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v>
      </c>
      <c r="BM128" s="166">
        <f t="shared" si="290"/>
        <v>0</v>
      </c>
      <c r="BN128" s="166">
        <f t="shared" si="290"/>
        <v>0</v>
      </c>
      <c r="BO128" s="166">
        <f t="shared" ref="BO128:CG128" si="291">IF(BO127&lt;0.05,BO25,0)</f>
        <v>0</v>
      </c>
      <c r="BP128" s="166">
        <f t="shared" si="291"/>
        <v>0</v>
      </c>
      <c r="BQ128" s="166">
        <f t="shared" si="291"/>
        <v>0</v>
      </c>
      <c r="BR128" s="166">
        <f t="shared" si="291"/>
        <v>0</v>
      </c>
      <c r="BS128" s="166">
        <f t="shared" si="291"/>
        <v>0</v>
      </c>
      <c r="BT128" s="166">
        <f t="shared" si="291"/>
        <v>0</v>
      </c>
      <c r="BU128" s="166">
        <f t="shared" si="291"/>
        <v>1.0941598358762417</v>
      </c>
      <c r="BV128" s="166">
        <f t="shared" si="291"/>
        <v>1.1883196717524833</v>
      </c>
      <c r="BW128" s="166">
        <f t="shared" si="291"/>
        <v>0</v>
      </c>
      <c r="BX128" s="166">
        <f t="shared" si="291"/>
        <v>0</v>
      </c>
      <c r="BY128" s="166">
        <f t="shared" si="291"/>
        <v>0</v>
      </c>
      <c r="BZ128" s="166">
        <f t="shared" si="291"/>
        <v>0</v>
      </c>
      <c r="CA128" s="166">
        <f t="shared" si="291"/>
        <v>0</v>
      </c>
      <c r="CB128" s="166">
        <f t="shared" si="291"/>
        <v>0</v>
      </c>
      <c r="CC128" s="166">
        <f t="shared" si="291"/>
        <v>0</v>
      </c>
      <c r="CD128" s="166">
        <f t="shared" si="291"/>
        <v>0</v>
      </c>
      <c r="CE128" s="166">
        <f t="shared" si="291"/>
        <v>0</v>
      </c>
      <c r="CF128" s="166">
        <f t="shared" si="291"/>
        <v>0</v>
      </c>
      <c r="CG128" s="166">
        <f t="shared" si="291"/>
        <v>0</v>
      </c>
      <c r="CH128" s="166"/>
      <c r="CI128" s="167">
        <f>MAX(C128:CG128)</f>
        <v>1.1883196717524833</v>
      </c>
      <c r="CJ128" s="169"/>
      <c r="CK128" s="21">
        <f>CI128*'Design Spec'!D112</f>
        <v>261.43032778554635</v>
      </c>
      <c r="CL128" s="37"/>
    </row>
    <row r="129" spans="2:90" ht="16.5" customHeight="1">
      <c r="B129" s="166" t="s">
        <v>874</v>
      </c>
      <c r="C129" s="166">
        <f t="shared" ref="C129:AH129" si="292">ABS(C111-C70)</f>
        <v>0.90631529257262411</v>
      </c>
      <c r="D129" s="166">
        <f t="shared" si="292"/>
        <v>0.90585687764329514</v>
      </c>
      <c r="E129" s="166">
        <f t="shared" si="292"/>
        <v>0.90463443113068809</v>
      </c>
      <c r="F129" s="166">
        <f t="shared" si="292"/>
        <v>0.90263581401031034</v>
      </c>
      <c r="G129" s="166">
        <f t="shared" si="292"/>
        <v>0.89984670952732437</v>
      </c>
      <c r="H129" s="166">
        <f t="shared" si="292"/>
        <v>0.89624691827462233</v>
      </c>
      <c r="I129" s="166">
        <f t="shared" si="292"/>
        <v>0.89180998837985004</v>
      </c>
      <c r="J129" s="166">
        <f t="shared" si="292"/>
        <v>0.88650272113348849</v>
      </c>
      <c r="K129" s="166">
        <f t="shared" si="292"/>
        <v>0.88028453451386168</v>
      </c>
      <c r="L129" s="166">
        <f t="shared" si="292"/>
        <v>0.87310666128567394</v>
      </c>
      <c r="M129" s="166">
        <f t="shared" si="292"/>
        <v>0.86491115116367734</v>
      </c>
      <c r="N129" s="166">
        <f t="shared" si="292"/>
        <v>0.85562963742770659</v>
      </c>
      <c r="O129" s="166">
        <f t="shared" si="292"/>
        <v>0.84518181665283243</v>
      </c>
      <c r="P129" s="166">
        <f t="shared" si="292"/>
        <v>0.83347357492034213</v>
      </c>
      <c r="Q129" s="166">
        <f t="shared" si="292"/>
        <v>0.82039467366501484</v>
      </c>
      <c r="R129" s="166">
        <f t="shared" si="292"/>
        <v>0.80581588130331094</v>
      </c>
      <c r="S129" s="166">
        <f t="shared" si="292"/>
        <v>0.78958540027377733</v>
      </c>
      <c r="T129" s="166">
        <f t="shared" si="292"/>
        <v>0.77152438918919874</v>
      </c>
      <c r="U129" s="166">
        <f t="shared" si="292"/>
        <v>0.75142131069754925</v>
      </c>
      <c r="V129" s="166">
        <f t="shared" si="292"/>
        <v>0.72902473880546192</v>
      </c>
      <c r="W129" s="166">
        <f t="shared" si="292"/>
        <v>0.70403412187125958</v>
      </c>
      <c r="X129" s="166">
        <f t="shared" si="292"/>
        <v>0.67608779929876106</v>
      </c>
      <c r="Y129" s="166">
        <f t="shared" si="292"/>
        <v>0.64474727998992076</v>
      </c>
      <c r="Z129" s="166">
        <f t="shared" si="292"/>
        <v>0.60947635916220944</v>
      </c>
      <c r="AA129" s="166">
        <f t="shared" si="292"/>
        <v>0.56961299637587659</v>
      </c>
      <c r="AB129" s="166">
        <f t="shared" si="292"/>
        <v>0.52433086707485232</v>
      </c>
      <c r="AC129" s="166">
        <f t="shared" si="292"/>
        <v>0.47258590338586087</v>
      </c>
      <c r="AD129" s="166">
        <f t="shared" si="292"/>
        <v>0.4130405559571399</v>
      </c>
      <c r="AE129" s="166">
        <f t="shared" si="292"/>
        <v>0.34395421341060517</v>
      </c>
      <c r="AF129" s="166">
        <f t="shared" si="292"/>
        <v>0.26302086095583066</v>
      </c>
      <c r="AG129" s="166">
        <f t="shared" si="292"/>
        <v>0.16712203993179342</v>
      </c>
      <c r="AH129" s="166">
        <f t="shared" si="292"/>
        <v>5.1939247600802152E-2</v>
      </c>
      <c r="AI129" s="166">
        <f t="shared" ref="AI129:BN129" si="293">ABS(AI111-AI70)</f>
        <v>8.8675921344120168E-2</v>
      </c>
      <c r="AJ129" s="166">
        <f t="shared" si="293"/>
        <v>0.26376766960525866</v>
      </c>
      <c r="AK129" s="166">
        <f t="shared" si="293"/>
        <v>0.48716673040894842</v>
      </c>
      <c r="AL129" s="166">
        <f t="shared" si="293"/>
        <v>0.7810324858832336</v>
      </c>
      <c r="AM129" s="166">
        <f t="shared" si="293"/>
        <v>1.1829156933491287</v>
      </c>
      <c r="AN129" s="166">
        <f t="shared" si="293"/>
        <v>1.7608096349604998</v>
      </c>
      <c r="AO129" s="166">
        <f t="shared" si="293"/>
        <v>2.6468814595765155</v>
      </c>
      <c r="AP129" s="166">
        <f t="shared" si="293"/>
        <v>4.1069860871522055</v>
      </c>
      <c r="AQ129" s="166">
        <f t="shared" si="293"/>
        <v>6.5248213953670353</v>
      </c>
      <c r="AR129" s="166">
        <f t="shared" si="293"/>
        <v>8.7394611739904278</v>
      </c>
      <c r="AS129" s="166">
        <f t="shared" si="293"/>
        <v>7.5180547748303956</v>
      </c>
      <c r="AT129" s="166">
        <f t="shared" si="293"/>
        <v>5.2109942649067067</v>
      </c>
      <c r="AU129" s="166">
        <f t="shared" si="293"/>
        <v>3.7106990072652568</v>
      </c>
      <c r="AV129" s="166">
        <f t="shared" si="293"/>
        <v>2.7922941219617647</v>
      </c>
      <c r="AW129" s="166">
        <f t="shared" si="293"/>
        <v>2.1943363068294506</v>
      </c>
      <c r="AX129" s="166">
        <f t="shared" si="293"/>
        <v>1.7797367081193212</v>
      </c>
      <c r="AY129" s="166">
        <f t="shared" si="293"/>
        <v>1.4773294451936692</v>
      </c>
      <c r="AZ129" s="166">
        <f t="shared" si="293"/>
        <v>1.2478268821391842</v>
      </c>
      <c r="BA129" s="166">
        <f t="shared" si="293"/>
        <v>1.0681073235393737</v>
      </c>
      <c r="BB129" s="166">
        <f t="shared" si="293"/>
        <v>0.92378430243760956</v>
      </c>
      <c r="BC129" s="166">
        <f t="shared" si="293"/>
        <v>0.80547796185290998</v>
      </c>
      <c r="BD129" s="166">
        <f t="shared" si="293"/>
        <v>0.70682843051525057</v>
      </c>
      <c r="BE129" s="166">
        <f t="shared" si="293"/>
        <v>0.62337875122628295</v>
      </c>
      <c r="BF129" s="166">
        <f t="shared" si="293"/>
        <v>0.5519165660905323</v>
      </c>
      <c r="BG129" s="166">
        <f t="shared" si="293"/>
        <v>0.49007005941804271</v>
      </c>
      <c r="BH129" s="166">
        <f t="shared" si="293"/>
        <v>0.43605105005437617</v>
      </c>
      <c r="BI129" s="166">
        <f t="shared" si="293"/>
        <v>0.38848653692581703</v>
      </c>
      <c r="BJ129" s="166">
        <f t="shared" si="293"/>
        <v>0.34630521712762419</v>
      </c>
      <c r="BK129" s="166">
        <f t="shared" si="293"/>
        <v>0.30865918948178162</v>
      </c>
      <c r="BL129" s="166">
        <f t="shared" si="293"/>
        <v>0.2748687751449328</v>
      </c>
      <c r="BM129" s="166">
        <f t="shared" si="293"/>
        <v>0.24438288478574677</v>
      </c>
      <c r="BN129" s="166">
        <f t="shared" si="293"/>
        <v>0.21675006227672289</v>
      </c>
      <c r="BO129" s="166">
        <f t="shared" ref="BO129:CG129" si="294">ABS(BO111-BO70)</f>
        <v>0.19159700016590131</v>
      </c>
      <c r="BP129" s="166">
        <f t="shared" si="294"/>
        <v>0.16861237435929377</v>
      </c>
      <c r="BQ129" s="166">
        <f t="shared" si="294"/>
        <v>0.14753452498066255</v>
      </c>
      <c r="BR129" s="166">
        <f t="shared" si="294"/>
        <v>0.12814195811915718</v>
      </c>
      <c r="BS129" s="166">
        <f t="shared" si="294"/>
        <v>0.11024594363686124</v>
      </c>
      <c r="BT129" s="166">
        <f t="shared" si="294"/>
        <v>9.3684689245557173E-2</v>
      </c>
      <c r="BU129" s="166">
        <f t="shared" si="294"/>
        <v>1.0505585425488406E-2</v>
      </c>
      <c r="BV129" s="166">
        <f t="shared" si="294"/>
        <v>4.4977373399137766E-2</v>
      </c>
      <c r="BW129" s="166">
        <f t="shared" si="294"/>
        <v>8.4321992317310523E-2</v>
      </c>
      <c r="BX129" s="166">
        <f t="shared" si="294"/>
        <v>0.11349436387317791</v>
      </c>
      <c r="BY129" s="166">
        <f t="shared" si="294"/>
        <v>0.13587616853563389</v>
      </c>
      <c r="BZ129" s="166">
        <f t="shared" si="294"/>
        <v>0.15352182506322776</v>
      </c>
      <c r="CA129" s="166">
        <f t="shared" si="294"/>
        <v>0.16774807163236061</v>
      </c>
      <c r="CB129" s="166">
        <f t="shared" si="294"/>
        <v>0.17943561256215046</v>
      </c>
      <c r="CC129" s="166">
        <f t="shared" si="294"/>
        <v>0.18919436736619755</v>
      </c>
      <c r="CD129" s="166">
        <f t="shared" si="294"/>
        <v>0.19745913518794422</v>
      </c>
      <c r="CE129" s="166">
        <f t="shared" si="294"/>
        <v>0.20454755708680616</v>
      </c>
      <c r="CF129" s="166">
        <f t="shared" si="294"/>
        <v>0.21069660470452356</v>
      </c>
      <c r="CG129" s="166">
        <f t="shared" si="294"/>
        <v>0.21608631222993335</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v>
      </c>
      <c r="AE130" s="166">
        <f t="shared" si="295"/>
        <v>0</v>
      </c>
      <c r="AF130" s="166">
        <f t="shared" si="295"/>
        <v>0</v>
      </c>
      <c r="AG130" s="166">
        <f t="shared" si="295"/>
        <v>0</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v>
      </c>
      <c r="BM130" s="166">
        <f t="shared" si="296"/>
        <v>0</v>
      </c>
      <c r="BN130" s="166">
        <f t="shared" si="296"/>
        <v>0</v>
      </c>
      <c r="BO130" s="166">
        <f t="shared" ref="BO130:CG130" si="297">IF(BO129&lt;0.05,BO25,0)</f>
        <v>0</v>
      </c>
      <c r="BP130" s="166">
        <f t="shared" si="297"/>
        <v>0</v>
      </c>
      <c r="BQ130" s="166">
        <f t="shared" si="297"/>
        <v>0</v>
      </c>
      <c r="BR130" s="166">
        <f t="shared" si="297"/>
        <v>0</v>
      </c>
      <c r="BS130" s="166">
        <f t="shared" si="297"/>
        <v>0</v>
      </c>
      <c r="BT130" s="166">
        <f t="shared" si="297"/>
        <v>0</v>
      </c>
      <c r="BU130" s="166">
        <f t="shared" si="297"/>
        <v>1.0941598358762417</v>
      </c>
      <c r="BV130" s="166">
        <f t="shared" si="297"/>
        <v>1.1883196717524833</v>
      </c>
      <c r="BW130" s="166">
        <f t="shared" si="297"/>
        <v>0</v>
      </c>
      <c r="BX130" s="166">
        <f t="shared" si="297"/>
        <v>0</v>
      </c>
      <c r="BY130" s="166">
        <f t="shared" si="297"/>
        <v>0</v>
      </c>
      <c r="BZ130" s="166">
        <f t="shared" si="297"/>
        <v>0</v>
      </c>
      <c r="CA130" s="166">
        <f t="shared" si="297"/>
        <v>0</v>
      </c>
      <c r="CB130" s="166">
        <f t="shared" si="297"/>
        <v>0</v>
      </c>
      <c r="CC130" s="166">
        <f t="shared" si="297"/>
        <v>0</v>
      </c>
      <c r="CD130" s="166">
        <f t="shared" si="297"/>
        <v>0</v>
      </c>
      <c r="CE130" s="166">
        <f t="shared" si="297"/>
        <v>0</v>
      </c>
      <c r="CF130" s="166">
        <f t="shared" si="297"/>
        <v>0</v>
      </c>
      <c r="CG130" s="166">
        <f t="shared" si="297"/>
        <v>0</v>
      </c>
      <c r="CH130" s="166"/>
      <c r="CI130" s="167">
        <f>MAX(C130:CG130)</f>
        <v>1.1883196717524833</v>
      </c>
      <c r="CJ130" s="170"/>
      <c r="CK130" s="21">
        <f>CI130*'Design Spec'!D112</f>
        <v>261.43032778554635</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1.2294081450834877</v>
      </c>
      <c r="D138" s="10">
        <f t="shared" si="298"/>
        <v>1.22894984034209</v>
      </c>
      <c r="E138" s="10">
        <f t="shared" si="298"/>
        <v>1.2277287643598815</v>
      </c>
      <c r="F138" s="10">
        <f t="shared" si="298"/>
        <v>1.2257357570359702</v>
      </c>
      <c r="G138" s="10">
        <f t="shared" si="298"/>
        <v>1.2229614551091412</v>
      </c>
      <c r="H138" s="10">
        <f t="shared" si="298"/>
        <v>1.2193927460039475</v>
      </c>
      <c r="I138" s="10">
        <f t="shared" si="298"/>
        <v>1.2150126284205875</v>
      </c>
      <c r="J138" s="10">
        <f t="shared" si="298"/>
        <v>1.209800030974711</v>
      </c>
      <c r="K138" s="10">
        <f t="shared" si="298"/>
        <v>1.2037295865865347</v>
      </c>
      <c r="L138" s="10">
        <f t="shared" si="298"/>
        <v>1.1967713598614411</v>
      </c>
      <c r="M138" s="10">
        <f t="shared" si="298"/>
        <v>1.1888905242984957</v>
      </c>
      <c r="N138" s="10">
        <f t="shared" si="298"/>
        <v>1.1800469858460794</v>
      </c>
      <c r="O138" s="10">
        <f t="shared" si="298"/>
        <v>1.170194949152108</v>
      </c>
      <c r="P138" s="10">
        <f t="shared" si="298"/>
        <v>1.1592824229157785</v>
      </c>
      <c r="Q138" s="10">
        <f t="shared" si="298"/>
        <v>1.1472506611654156</v>
      </c>
      <c r="R138" s="10">
        <f t="shared" si="298"/>
        <v>1.1340335382486646</v>
      </c>
      <c r="S138" s="10">
        <f t="shared" si="298"/>
        <v>1.1195568570968075</v>
      </c>
      <c r="T138" s="10">
        <f t="shared" si="298"/>
        <v>1.1037375933029296</v>
      </c>
      <c r="U138" s="10">
        <f t="shared" si="298"/>
        <v>1.0864830822899103</v>
      </c>
      <c r="V138" s="10">
        <f t="shared" si="298"/>
        <v>1.0676901641282583</v>
      </c>
      <c r="W138" s="10">
        <f t="shared" si="298"/>
        <v>1.0472443115082566</v>
      </c>
      <c r="X138" s="10">
        <f t="shared" si="298"/>
        <v>1.0250187825287402</v>
      </c>
      <c r="Y138" s="10">
        <f t="shared" si="298"/>
        <v>1.0008738634774497</v>
      </c>
      <c r="Z138" s="10">
        <f t="shared" si="298"/>
        <v>0.97465630054932051</v>
      </c>
      <c r="AA138" s="10">
        <f t="shared" si="298"/>
        <v>0.94619906732700665</v>
      </c>
      <c r="AB138" s="10">
        <f t="shared" si="298"/>
        <v>0.91532168175751738</v>
      </c>
      <c r="AC138" s="10">
        <f t="shared" si="298"/>
        <v>0.88183137827127389</v>
      </c>
      <c r="AD138" s="10">
        <f t="shared" si="298"/>
        <v>0.84552556418689695</v>
      </c>
      <c r="AE138" s="10">
        <f t="shared" si="298"/>
        <v>0.80619615053604599</v>
      </c>
      <c r="AF138" s="10">
        <f t="shared" si="298"/>
        <v>0.7636365482618177</v>
      </c>
      <c r="AG138" s="10">
        <f t="shared" si="298"/>
        <v>0.71765235439213226</v>
      </c>
      <c r="AH138" s="10">
        <f t="shared" si="298"/>
        <v>0.66807699256908093</v>
      </c>
      <c r="AI138" s="10">
        <f t="shared" ref="AI138:BN138" si="299">ABS(AI47-AI53)</f>
        <v>0.61479375490286714</v>
      </c>
      <c r="AJ138" s="10">
        <f t="shared" si="299"/>
        <v>0.55776569317782909</v>
      </c>
      <c r="AK138" s="10">
        <f t="shared" si="299"/>
        <v>0.49707441328615809</v>
      </c>
      <c r="AL138" s="10">
        <f t="shared" si="299"/>
        <v>0.43296771680377466</v>
      </c>
      <c r="AM138" s="10">
        <f t="shared" si="299"/>
        <v>0.36591380971737542</v>
      </c>
      <c r="AN138" s="10">
        <f t="shared" si="299"/>
        <v>0.29665612669567443</v>
      </c>
      <c r="AO138" s="10">
        <f t="shared" si="299"/>
        <v>0.22625776500715022</v>
      </c>
      <c r="AP138" s="10">
        <f t="shared" si="299"/>
        <v>0.15611909289432302</v>
      </c>
      <c r="AQ138" s="10">
        <f t="shared" si="299"/>
        <v>8.7948779012887668E-2</v>
      </c>
      <c r="AR138" s="10">
        <f t="shared" si="299"/>
        <v>2.3671141301035759E-2</v>
      </c>
      <c r="AS138" s="10">
        <f t="shared" si="299"/>
        <v>2.9476618883249373E-2</v>
      </c>
      <c r="AT138" s="10">
        <f t="shared" si="299"/>
        <v>8.0993455068664399E-2</v>
      </c>
      <c r="AU138" s="10">
        <f t="shared" si="299"/>
        <v>0.12349588836274328</v>
      </c>
      <c r="AV138" s="10">
        <f t="shared" si="299"/>
        <v>0.15604888806396877</v>
      </c>
      <c r="AW138" s="10">
        <f t="shared" si="299"/>
        <v>0.17836291841005503</v>
      </c>
      <c r="AX138" s="10">
        <f t="shared" si="299"/>
        <v>0.19077986219838894</v>
      </c>
      <c r="AY138" s="10">
        <f t="shared" si="299"/>
        <v>0.19416040815666924</v>
      </c>
      <c r="AZ138" s="10">
        <f t="shared" si="299"/>
        <v>0.18971302893845254</v>
      </c>
      <c r="BA138" s="10">
        <f t="shared" si="299"/>
        <v>0.1788121589138385</v>
      </c>
      <c r="BB138" s="10">
        <f t="shared" si="299"/>
        <v>0.16284274243191343</v>
      </c>
      <c r="BC138" s="10">
        <f t="shared" si="299"/>
        <v>0.14308983735772585</v>
      </c>
      <c r="BD138" s="10">
        <f t="shared" si="299"/>
        <v>0.12067518059665439</v>
      </c>
      <c r="BE138" s="10">
        <f t="shared" si="299"/>
        <v>9.6532397031581008E-2</v>
      </c>
      <c r="BF138" s="10">
        <f t="shared" si="299"/>
        <v>7.1408927512232045E-2</v>
      </c>
      <c r="BG138" s="10">
        <f t="shared" si="299"/>
        <v>4.5883501854094844E-2</v>
      </c>
      <c r="BH138" s="10">
        <f t="shared" si="299"/>
        <v>2.0390649302726382E-2</v>
      </c>
      <c r="BI138" s="10">
        <f t="shared" si="299"/>
        <v>4.7533279374301074E-3</v>
      </c>
      <c r="BJ138" s="10">
        <f t="shared" si="299"/>
        <v>2.9326078821636958E-2</v>
      </c>
      <c r="BK138" s="10">
        <f t="shared" si="299"/>
        <v>5.3178096255694918E-2</v>
      </c>
      <c r="BL138" s="10">
        <f t="shared" si="299"/>
        <v>7.6215203343284355E-2</v>
      </c>
      <c r="BM138" s="10">
        <f t="shared" si="299"/>
        <v>9.838448432459912E-2</v>
      </c>
      <c r="BN138" s="10">
        <f t="shared" si="299"/>
        <v>0.11966324549489049</v>
      </c>
      <c r="BO138" s="10">
        <f t="shared" ref="BO138:CG138" si="300">ABS(BO47-BO53)</f>
        <v>0.14005050672737207</v>
      </c>
      <c r="BP138" s="10">
        <f t="shared" si="300"/>
        <v>0.15956053581629503</v>
      </c>
      <c r="BQ138" s="10">
        <f t="shared" si="300"/>
        <v>0.17821799347852196</v>
      </c>
      <c r="BR138" s="10">
        <f t="shared" si="300"/>
        <v>0.19605432693457558</v>
      </c>
      <c r="BS138" s="10">
        <f t="shared" si="300"/>
        <v>0.21310511925820186</v>
      </c>
      <c r="BT138" s="10">
        <f t="shared" si="300"/>
        <v>0.22940816326530622</v>
      </c>
      <c r="BU138" s="10">
        <f t="shared" si="300"/>
        <v>0.31972177294313808</v>
      </c>
      <c r="BV138" s="10">
        <f t="shared" si="300"/>
        <v>0.38941537824386152</v>
      </c>
      <c r="BW138" s="10">
        <f t="shared" si="300"/>
        <v>0.44513584394433481</v>
      </c>
      <c r="BX138" s="10">
        <f t="shared" si="300"/>
        <v>0.49115605325677225</v>
      </c>
      <c r="BY138" s="10">
        <f t="shared" si="300"/>
        <v>0.53021285819912967</v>
      </c>
      <c r="BZ138" s="10">
        <f t="shared" si="300"/>
        <v>0.56409783133163838</v>
      </c>
      <c r="CA138" s="10">
        <f t="shared" si="300"/>
        <v>0.59401722896558662</v>
      </c>
      <c r="CB138" s="10">
        <f t="shared" si="300"/>
        <v>0.62080704919314811</v>
      </c>
      <c r="CC138" s="10">
        <f t="shared" si="300"/>
        <v>0.64506311952993833</v>
      </c>
      <c r="CD138" s="10">
        <f t="shared" si="300"/>
        <v>0.66722151082251557</v>
      </c>
      <c r="CE138" s="10">
        <f t="shared" si="300"/>
        <v>0.68760943606835301</v>
      </c>
      <c r="CF138" s="10">
        <f t="shared" si="300"/>
        <v>0.70647822188724763</v>
      </c>
      <c r="CG138" s="10">
        <f t="shared" si="300"/>
        <v>0.72402513835818216</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v>
      </c>
      <c r="AO139" s="10">
        <f t="shared" si="302"/>
        <v>0</v>
      </c>
      <c r="AP139" s="10">
        <f t="shared" si="302"/>
        <v>0</v>
      </c>
      <c r="AQ139" s="10">
        <f t="shared" si="302"/>
        <v>0</v>
      </c>
      <c r="AR139" s="10">
        <f t="shared" si="302"/>
        <v>0.59558339718127062</v>
      </c>
      <c r="AS139" s="10">
        <f t="shared" si="302"/>
        <v>0.6086956521739143</v>
      </c>
      <c r="AT139" s="10">
        <f t="shared" si="302"/>
        <v>0</v>
      </c>
      <c r="AU139" s="10">
        <f t="shared" si="302"/>
        <v>0</v>
      </c>
      <c r="AV139" s="10">
        <f t="shared" si="302"/>
        <v>0</v>
      </c>
      <c r="AW139" s="10">
        <f t="shared" si="302"/>
        <v>0</v>
      </c>
      <c r="AX139" s="10">
        <f t="shared" si="302"/>
        <v>0</v>
      </c>
      <c r="AY139" s="10">
        <f t="shared" si="302"/>
        <v>0</v>
      </c>
      <c r="AZ139" s="10">
        <f t="shared" si="302"/>
        <v>0</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0.82608695652173969</v>
      </c>
      <c r="BI139" s="10">
        <f t="shared" si="302"/>
        <v>0.84057971014492805</v>
      </c>
      <c r="BJ139" s="10">
        <f t="shared" si="302"/>
        <v>0.85507246376811641</v>
      </c>
      <c r="BK139" s="10">
        <f t="shared" si="302"/>
        <v>0</v>
      </c>
      <c r="BL139" s="10">
        <f t="shared" si="302"/>
        <v>0</v>
      </c>
      <c r="BM139" s="10">
        <f t="shared" si="302"/>
        <v>0</v>
      </c>
      <c r="BN139" s="10">
        <f t="shared" si="302"/>
        <v>0</v>
      </c>
      <c r="BO139" s="10">
        <f t="shared" ref="BO139:CG139" si="303">IF(BO138&lt;0.03,BO25,0)</f>
        <v>0</v>
      </c>
      <c r="BP139" s="10">
        <f t="shared" si="303"/>
        <v>0</v>
      </c>
      <c r="BQ139" s="10">
        <f t="shared" si="303"/>
        <v>0</v>
      </c>
      <c r="BR139" s="10">
        <f t="shared" si="303"/>
        <v>0</v>
      </c>
      <c r="BS139" s="10">
        <f t="shared" si="303"/>
        <v>0</v>
      </c>
      <c r="BT139" s="10">
        <f t="shared" si="303"/>
        <v>0</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0.85507246376811641</v>
      </c>
      <c r="CJ139" s="10">
        <f>3.14/2</f>
        <v>1.57</v>
      </c>
    </row>
    <row r="140" spans="2:90" ht="16.5" customHeight="1">
      <c r="C140" s="10">
        <f t="shared" ref="C140:AH140" si="304">ABS(C49-C55)</f>
        <v>1.4195982498284774</v>
      </c>
      <c r="D140" s="10">
        <f t="shared" si="304"/>
        <v>1.4191398961244757</v>
      </c>
      <c r="E140" s="10">
        <f t="shared" si="304"/>
        <v>1.4179182114911173</v>
      </c>
      <c r="F140" s="10">
        <f t="shared" si="304"/>
        <v>1.4159227155056393</v>
      </c>
      <c r="G140" s="10">
        <f t="shared" si="304"/>
        <v>1.413141857081704</v>
      </c>
      <c r="H140" s="10">
        <f t="shared" si="304"/>
        <v>1.4095594096624746</v>
      </c>
      <c r="I140" s="10">
        <f t="shared" si="304"/>
        <v>1.4051542474191261</v>
      </c>
      <c r="J140" s="10">
        <f t="shared" si="304"/>
        <v>1.3999000505306272</v>
      </c>
      <c r="K140" s="10">
        <f t="shared" si="304"/>
        <v>1.3937649328547885</v>
      </c>
      <c r="L140" s="10">
        <f t="shared" si="304"/>
        <v>1.3867109834689226</v>
      </c>
      <c r="M140" s="10">
        <f t="shared" si="304"/>
        <v>1.378693711497804</v>
      </c>
      <c r="N140" s="10">
        <f t="shared" si="304"/>
        <v>1.3696613813126213</v>
      </c>
      <c r="O140" s="10">
        <f t="shared" si="304"/>
        <v>1.3595542225363078</v>
      </c>
      <c r="P140" s="10">
        <f t="shared" si="304"/>
        <v>1.3483034962969134</v>
      </c>
      <c r="Q140" s="10">
        <f t="shared" si="304"/>
        <v>1.3358303958215805</v>
      </c>
      <c r="R140" s="10">
        <f t="shared" si="304"/>
        <v>1.3220447557899571</v>
      </c>
      <c r="S140" s="10">
        <f t="shared" si="304"/>
        <v>1.3068435409718058</v>
      </c>
      <c r="T140" s="10">
        <f t="shared" si="304"/>
        <v>1.2901090807913269</v>
      </c>
      <c r="U140" s="10">
        <f t="shared" si="304"/>
        <v>1.2717070130398214</v>
      </c>
      <c r="V140" s="10">
        <f t="shared" si="304"/>
        <v>1.2514838978110518</v>
      </c>
      <c r="W140" s="10">
        <f t="shared" si="304"/>
        <v>1.2292644632713359</v>
      </c>
      <c r="X140" s="10">
        <f t="shared" si="304"/>
        <v>1.2048484504900345</v>
      </c>
      <c r="Y140" s="10">
        <f t="shared" si="304"/>
        <v>1.1780070392272377</v>
      </c>
      <c r="Z140" s="10">
        <f t="shared" si="304"/>
        <v>1.1484788668482688</v>
      </c>
      <c r="AA140" s="10">
        <f t="shared" si="304"/>
        <v>1.1159657090466053</v>
      </c>
      <c r="AB140" s="10">
        <f t="shared" si="304"/>
        <v>1.0801279909085193</v>
      </c>
      <c r="AC140" s="10">
        <f t="shared" si="304"/>
        <v>1.0405804671809034</v>
      </c>
      <c r="AD140" s="10">
        <f t="shared" si="304"/>
        <v>0.99688869373240685</v>
      </c>
      <c r="AE140" s="10">
        <f t="shared" si="304"/>
        <v>0.94856737248455303</v>
      </c>
      <c r="AF140" s="10">
        <f t="shared" si="304"/>
        <v>0.89508238355107261</v>
      </c>
      <c r="AG140" s="10">
        <f t="shared" si="304"/>
        <v>0.83585944917958155</v>
      </c>
      <c r="AH140" s="10">
        <f t="shared" si="304"/>
        <v>0.77030405708028826</v>
      </c>
      <c r="AI140" s="10">
        <f t="shared" ref="AI140:BN140" si="305">ABS(AI49-AI55)</f>
        <v>0.69783963208482769</v>
      </c>
      <c r="AJ140" s="10">
        <f t="shared" si="305"/>
        <v>0.61797393427501379</v>
      </c>
      <c r="AK140" s="10">
        <f t="shared" si="305"/>
        <v>0.53040669686926867</v>
      </c>
      <c r="AL140" s="10">
        <f t="shared" si="305"/>
        <v>0.43519278498867742</v>
      </c>
      <c r="AM140" s="10">
        <f t="shared" si="305"/>
        <v>0.33297052828231677</v>
      </c>
      <c r="AN140" s="10">
        <f t="shared" si="305"/>
        <v>0.2252469962502186</v>
      </c>
      <c r="AO140" s="10">
        <f t="shared" si="305"/>
        <v>0.11469169782574395</v>
      </c>
      <c r="AP140" s="10">
        <f t="shared" si="305"/>
        <v>5.3250557836403978E-3</v>
      </c>
      <c r="AQ140" s="10">
        <f t="shared" si="305"/>
        <v>9.7578338979666723E-2</v>
      </c>
      <c r="AR140" s="10">
        <f t="shared" si="305"/>
        <v>0.18805084832648955</v>
      </c>
      <c r="AS140" s="10">
        <f t="shared" si="305"/>
        <v>0.25448588576980335</v>
      </c>
      <c r="AT140" s="10">
        <f t="shared" si="305"/>
        <v>0.30708286688818953</v>
      </c>
      <c r="AU140" s="10">
        <f t="shared" si="305"/>
        <v>0.33621011944589752</v>
      </c>
      <c r="AV140" s="10">
        <f t="shared" si="305"/>
        <v>0.34289499442397608</v>
      </c>
      <c r="AW140" s="10">
        <f t="shared" si="305"/>
        <v>0.33033716779670264</v>
      </c>
      <c r="AX140" s="10">
        <f t="shared" si="305"/>
        <v>0.30288479208795938</v>
      </c>
      <c r="AY140" s="10">
        <f t="shared" si="305"/>
        <v>0.26503555453252381</v>
      </c>
      <c r="AZ140" s="10">
        <f t="shared" si="305"/>
        <v>0.22076348898984888</v>
      </c>
      <c r="BA140" s="10">
        <f t="shared" si="305"/>
        <v>0.17321951331601393</v>
      </c>
      <c r="BB140" s="10">
        <f t="shared" si="305"/>
        <v>0.12470453620320687</v>
      </c>
      <c r="BC140" s="10">
        <f t="shared" si="305"/>
        <v>7.6785485526367658E-2</v>
      </c>
      <c r="BD140" s="10">
        <f t="shared" si="305"/>
        <v>3.0457841760209714E-2</v>
      </c>
      <c r="BE140" s="10">
        <f t="shared" si="305"/>
        <v>1.3698306011923123E-2</v>
      </c>
      <c r="BF140" s="10">
        <f t="shared" si="305"/>
        <v>5.5389932549166909E-2</v>
      </c>
      <c r="BG140" s="10">
        <f t="shared" si="305"/>
        <v>9.4514187666945304E-2</v>
      </c>
      <c r="BH140" s="10">
        <f t="shared" si="305"/>
        <v>0.13108906777102813</v>
      </c>
      <c r="BI140" s="10">
        <f t="shared" si="305"/>
        <v>0.1652056151285366</v>
      </c>
      <c r="BJ140" s="10">
        <f t="shared" si="305"/>
        <v>0.1969958847297375</v>
      </c>
      <c r="BK140" s="10">
        <f t="shared" si="305"/>
        <v>0.22661200751998045</v>
      </c>
      <c r="BL140" s="10">
        <f t="shared" si="305"/>
        <v>0.25421285607262556</v>
      </c>
      <c r="BM140" s="10">
        <f t="shared" si="305"/>
        <v>0.27995581794437219</v>
      </c>
      <c r="BN140" s="10">
        <f t="shared" si="305"/>
        <v>0.30399194610210323</v>
      </c>
      <c r="BO140" s="10">
        <f t="shared" ref="BO140:CG140" si="306">ABS(BO49-BO55)</f>
        <v>0.32646330855073535</v>
      </c>
      <c r="BP140" s="10">
        <f t="shared" si="306"/>
        <v>0.34750174617295349</v>
      </c>
      <c r="BQ140" s="10">
        <f t="shared" si="306"/>
        <v>0.36722851308566873</v>
      </c>
      <c r="BR140" s="10">
        <f t="shared" si="306"/>
        <v>0.38575445333401404</v>
      </c>
      <c r="BS140" s="10">
        <f t="shared" si="306"/>
        <v>0.40318048812621265</v>
      </c>
      <c r="BT140" s="10">
        <f t="shared" si="306"/>
        <v>0.41959826801029587</v>
      </c>
      <c r="BU140" s="10">
        <f t="shared" si="306"/>
        <v>0.50676161408244136</v>
      </c>
      <c r="BV140" s="10">
        <f t="shared" si="306"/>
        <v>0.57031664074495603</v>
      </c>
      <c r="BW140" s="10">
        <f t="shared" si="306"/>
        <v>0.61921417899930675</v>
      </c>
      <c r="BX140" s="10">
        <f t="shared" si="306"/>
        <v>0.65852350220500544</v>
      </c>
      <c r="BY140" s="10">
        <f t="shared" si="306"/>
        <v>0.69127115437959841</v>
      </c>
      <c r="BZ140" s="10">
        <f t="shared" si="306"/>
        <v>0.71935045762988137</v>
      </c>
      <c r="CA140" s="10">
        <f t="shared" si="306"/>
        <v>0.74399354564255871</v>
      </c>
      <c r="CB140" s="10">
        <f t="shared" si="306"/>
        <v>0.76602941798641866</v>
      </c>
      <c r="CC140" s="10">
        <f t="shared" si="306"/>
        <v>0.7860319023483241</v>
      </c>
      <c r="CD140" s="10">
        <f t="shared" si="306"/>
        <v>0.80440811313112159</v>
      </c>
      <c r="CE140" s="10">
        <f t="shared" si="306"/>
        <v>0.8214532798944969</v>
      </c>
      <c r="CF140" s="10">
        <f t="shared" si="306"/>
        <v>0.83738580237953952</v>
      </c>
      <c r="CG140" s="10">
        <f t="shared" si="306"/>
        <v>0.85237026902399404</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0.56659788993489391</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0.78260869565217461</v>
      </c>
      <c r="BF141" s="10">
        <f t="shared" si="308"/>
        <v>0</v>
      </c>
      <c r="BG141" s="10">
        <f t="shared" si="308"/>
        <v>0</v>
      </c>
      <c r="BH141" s="10">
        <f t="shared" si="308"/>
        <v>0</v>
      </c>
      <c r="BI141" s="10">
        <f t="shared" si="308"/>
        <v>0</v>
      </c>
      <c r="BJ141" s="10">
        <f t="shared" si="308"/>
        <v>0</v>
      </c>
      <c r="BK141" s="10">
        <f t="shared" si="308"/>
        <v>0</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0.78260869565217461</v>
      </c>
      <c r="CJ141" s="10">
        <f>3.14/3</f>
        <v>1.0466666666666666</v>
      </c>
      <c r="CK141" s="10">
        <f>CJ141*2</f>
        <v>2.0933333333333333</v>
      </c>
    </row>
    <row r="142" spans="2:90" ht="16.5" customHeight="1">
      <c r="C142" s="10">
        <f t="shared" ref="C142:AH142" si="310">ABS(C50-C56)</f>
        <v>1.7386456800001737</v>
      </c>
      <c r="D142" s="10">
        <f t="shared" si="310"/>
        <v>1.7381872913132748</v>
      </c>
      <c r="E142" s="10">
        <f t="shared" si="310"/>
        <v>1.7369651714654508</v>
      </c>
      <c r="F142" s="10">
        <f t="shared" si="310"/>
        <v>1.734967893380392</v>
      </c>
      <c r="G142" s="10">
        <f t="shared" si="310"/>
        <v>1.7321823298174532</v>
      </c>
      <c r="H142" s="10">
        <f t="shared" si="310"/>
        <v>1.7285899950698984</v>
      </c>
      <c r="I142" s="10">
        <f t="shared" si="310"/>
        <v>1.7241667434186259</v>
      </c>
      <c r="J142" s="10">
        <f t="shared" si="310"/>
        <v>1.7188823685973673</v>
      </c>
      <c r="K142" s="10">
        <f t="shared" si="310"/>
        <v>1.7127000922686946</v>
      </c>
      <c r="L142" s="10">
        <f t="shared" si="310"/>
        <v>1.7055759258188881</v>
      </c>
      <c r="M142" s="10">
        <f t="shared" si="310"/>
        <v>1.6974578853504605</v>
      </c>
      <c r="N142" s="10">
        <f t="shared" si="310"/>
        <v>1.6882850343503293</v>
      </c>
      <c r="O142" s="10">
        <f t="shared" si="310"/>
        <v>1.6779863218429578</v>
      </c>
      <c r="P142" s="10">
        <f t="shared" si="310"/>
        <v>1.666479175521616</v>
      </c>
      <c r="Q142" s="10">
        <f t="shared" si="310"/>
        <v>1.6536677988981303</v>
      </c>
      <c r="R142" s="10">
        <f t="shared" si="310"/>
        <v>1.6394411082900244</v>
      </c>
      <c r="S142" s="10">
        <f t="shared" si="310"/>
        <v>1.6236702286570917</v>
      </c>
      <c r="T142" s="10">
        <f t="shared" si="310"/>
        <v>1.6062054458558002</v>
      </c>
      <c r="U142" s="10">
        <f t="shared" si="310"/>
        <v>1.5868724854573457</v>
      </c>
      <c r="V142" s="10">
        <f t="shared" si="310"/>
        <v>1.5654679531871027</v>
      </c>
      <c r="W142" s="10">
        <f t="shared" si="310"/>
        <v>1.5417537272291222</v>
      </c>
      <c r="X142" s="10">
        <f t="shared" si="310"/>
        <v>1.5154500357079836</v>
      </c>
      <c r="Y142" s="10">
        <f t="shared" si="310"/>
        <v>1.486226881112928</v>
      </c>
      <c r="Z142" s="10">
        <f t="shared" si="310"/>
        <v>1.4536933852858218</v>
      </c>
      <c r="AA142" s="10">
        <f t="shared" si="310"/>
        <v>1.4173845238886227</v>
      </c>
      <c r="AB142" s="10">
        <f t="shared" si="310"/>
        <v>1.3767446033622324</v>
      </c>
      <c r="AC142" s="10">
        <f t="shared" si="310"/>
        <v>1.3311067240795897</v>
      </c>
      <c r="AD142" s="10">
        <f t="shared" si="310"/>
        <v>1.279667415770831</v>
      </c>
      <c r="AE142" s="10">
        <f t="shared" si="310"/>
        <v>1.2214557284940575</v>
      </c>
      <c r="AF142" s="10">
        <f t="shared" si="310"/>
        <v>1.1552965385662299</v>
      </c>
      <c r="AG142" s="10">
        <f t="shared" si="310"/>
        <v>1.0797691562732989</v>
      </c>
      <c r="AH142" s="10">
        <f t="shared" si="310"/>
        <v>0.99316547304832459</v>
      </c>
      <c r="AI142" s="10">
        <f t="shared" ref="AI142:BN142" si="311">ABS(AI50-AI56)</f>
        <v>0.89345881015997175</v>
      </c>
      <c r="AJ142" s="10">
        <f t="shared" si="311"/>
        <v>0.77830908832759182</v>
      </c>
      <c r="AK142" s="10">
        <f t="shared" si="311"/>
        <v>0.64515865614970824</v>
      </c>
      <c r="AL142" s="10">
        <f t="shared" si="311"/>
        <v>0.49152627373479296</v>
      </c>
      <c r="AM142" s="10">
        <f t="shared" si="311"/>
        <v>0.31569296681249326</v>
      </c>
      <c r="AN142" s="10">
        <f t="shared" si="311"/>
        <v>0.11807347992987394</v>
      </c>
      <c r="AO142" s="10">
        <f t="shared" si="311"/>
        <v>9.6448357436804688E-2</v>
      </c>
      <c r="AP142" s="10">
        <f t="shared" si="311"/>
        <v>0.31545854887761426</v>
      </c>
      <c r="AQ142" s="10">
        <f t="shared" si="311"/>
        <v>0.5170443765659527</v>
      </c>
      <c r="AR142" s="10">
        <f t="shared" si="311"/>
        <v>0.67282692082879891</v>
      </c>
      <c r="AS142" s="10">
        <f t="shared" si="311"/>
        <v>0.75378550250124454</v>
      </c>
      <c r="AT142" s="10">
        <f t="shared" si="311"/>
        <v>0.76906864765006433</v>
      </c>
      <c r="AU142" s="10">
        <f t="shared" si="311"/>
        <v>0.71706139248899325</v>
      </c>
      <c r="AV142" s="10">
        <f t="shared" si="311"/>
        <v>0.62010223474563175</v>
      </c>
      <c r="AW142" s="10">
        <f t="shared" si="311"/>
        <v>0.50084629316685603</v>
      </c>
      <c r="AX142" s="10">
        <f t="shared" si="311"/>
        <v>0.37589241282134433</v>
      </c>
      <c r="AY142" s="10">
        <f t="shared" si="311"/>
        <v>0.25504560177910074</v>
      </c>
      <c r="AZ142" s="10">
        <f t="shared" si="311"/>
        <v>0.14307034729534229</v>
      </c>
      <c r="BA142" s="10">
        <f t="shared" si="311"/>
        <v>4.1665936253960645E-2</v>
      </c>
      <c r="BB142" s="10">
        <f t="shared" si="311"/>
        <v>4.910304038824731E-2</v>
      </c>
      <c r="BC142" s="10">
        <f t="shared" si="311"/>
        <v>0.12994086343600708</v>
      </c>
      <c r="BD142" s="10">
        <f t="shared" si="311"/>
        <v>0.20184707570930405</v>
      </c>
      <c r="BE142" s="10">
        <f t="shared" si="311"/>
        <v>0.26587650016100106</v>
      </c>
      <c r="BF142" s="10">
        <f t="shared" si="311"/>
        <v>0.32302771705274824</v>
      </c>
      <c r="BG142" s="10">
        <f t="shared" si="311"/>
        <v>0.37419853798530878</v>
      </c>
      <c r="BH142" s="10">
        <f t="shared" si="311"/>
        <v>0.4201747607412003</v>
      </c>
      <c r="BI142" s="10">
        <f t="shared" si="311"/>
        <v>0.46163440345172169</v>
      </c>
      <c r="BJ142" s="10">
        <f t="shared" si="311"/>
        <v>0.49915830154314178</v>
      </c>
      <c r="BK142" s="10">
        <f t="shared" si="311"/>
        <v>0.53324255910843021</v>
      </c>
      <c r="BL142" s="10">
        <f t="shared" si="311"/>
        <v>0.56431074331375441</v>
      </c>
      <c r="BM142" s="10">
        <f t="shared" si="311"/>
        <v>0.5927249325532995</v>
      </c>
      <c r="BN142" s="10">
        <f t="shared" si="311"/>
        <v>0.61879533498559147</v>
      </c>
      <c r="BO142" s="10">
        <f t="shared" ref="BO142:CG142" si="312">ABS(BO50-BO56)</f>
        <v>0.64278848050909509</v>
      </c>
      <c r="BP142" s="10">
        <f t="shared" si="312"/>
        <v>0.66493411244944922</v>
      </c>
      <c r="BQ142" s="10">
        <f t="shared" si="312"/>
        <v>0.68543094706311103</v>
      </c>
      <c r="BR142" s="10">
        <f t="shared" si="312"/>
        <v>0.70445147193661262</v>
      </c>
      <c r="BS142" s="10">
        <f t="shared" si="312"/>
        <v>0.7221459403044812</v>
      </c>
      <c r="BT142" s="10">
        <f t="shared" si="312"/>
        <v>0.73864569818199244</v>
      </c>
      <c r="BU142" s="10">
        <f t="shared" si="312"/>
        <v>0.82353871191999706</v>
      </c>
      <c r="BV142" s="10">
        <f t="shared" si="312"/>
        <v>0.88253728233637907</v>
      </c>
      <c r="BW142" s="10">
        <f t="shared" si="312"/>
        <v>0.92612559124882832</v>
      </c>
      <c r="BX142" s="10">
        <f t="shared" si="312"/>
        <v>0.95990897501991934</v>
      </c>
      <c r="BY142" s="10">
        <f t="shared" si="312"/>
        <v>0.98712934911532191</v>
      </c>
      <c r="BZ142" s="10">
        <f t="shared" si="312"/>
        <v>1.0097788867959285</v>
      </c>
      <c r="CA142" s="10">
        <f t="shared" si="312"/>
        <v>1.0291415668944091</v>
      </c>
      <c r="CB142" s="10">
        <f t="shared" si="312"/>
        <v>1.0460771269123841</v>
      </c>
      <c r="CC142" s="10">
        <f t="shared" si="312"/>
        <v>1.0611793739703763</v>
      </c>
      <c r="CD142" s="10">
        <f t="shared" si="312"/>
        <v>1.0748690423519598</v>
      </c>
      <c r="CE142" s="10">
        <f t="shared" si="312"/>
        <v>1.0874506284281418</v>
      </c>
      <c r="CF142" s="10">
        <f t="shared" si="312"/>
        <v>1.0991484587470426</v>
      </c>
      <c r="CG142" s="10">
        <f t="shared" si="312"/>
        <v>1.110130301300859</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v>
      </c>
      <c r="BD143" s="10">
        <f t="shared" si="314"/>
        <v>0</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0.83781781585497994</v>
      </c>
      <c r="BC149" s="175">
        <f>BB149*'Res. Tank Design'!$D$55</f>
        <v>127.13741597090601</v>
      </c>
      <c r="BD149" s="37" t="s">
        <v>187</v>
      </c>
      <c r="BE149" s="169" t="str">
        <f t="shared" ref="BE149:BF154" si="316">B33</f>
        <v>π/2</v>
      </c>
      <c r="BF149" s="169">
        <f t="shared" si="316"/>
        <v>1.5707963267948966</v>
      </c>
    </row>
    <row r="150" spans="54:88" ht="16.5" customHeight="1">
      <c r="BB150" s="174">
        <f>D232</f>
        <v>0.8200034865816288</v>
      </c>
      <c r="BC150" s="175">
        <f>BB150*'Res. Tank Design'!$D$55</f>
        <v>124.43412207071904</v>
      </c>
      <c r="BD150" s="37" t="s">
        <v>187</v>
      </c>
      <c r="BE150" s="169" t="str">
        <f t="shared" si="316"/>
        <v>5π/12</v>
      </c>
      <c r="BF150" s="169">
        <f t="shared" si="316"/>
        <v>1.3089969389957472</v>
      </c>
      <c r="CI150" s="10">
        <f>CJ143</f>
        <v>0.78500000000000003</v>
      </c>
      <c r="CJ150" s="10">
        <f>CI143</f>
        <v>0</v>
      </c>
    </row>
    <row r="151" spans="54:88" ht="16.5" customHeight="1">
      <c r="BB151" s="174">
        <f>E232</f>
        <v>0.77802832805570654</v>
      </c>
      <c r="BC151" s="175">
        <f>BB151*'Res. Tank Design'!$D$55</f>
        <v>118.06446378825703</v>
      </c>
      <c r="BD151" s="37" t="s">
        <v>187</v>
      </c>
      <c r="BE151" s="169" t="str">
        <f t="shared" si="316"/>
        <v>π/3</v>
      </c>
      <c r="BF151" s="176">
        <f t="shared" si="316"/>
        <v>1.0471975511965976</v>
      </c>
      <c r="CF151" s="10" t="s">
        <v>877</v>
      </c>
      <c r="CI151" s="10">
        <f>CJ141</f>
        <v>1.0466666666666666</v>
      </c>
      <c r="CJ151" s="10">
        <f>CI141</f>
        <v>0.78260869565217461</v>
      </c>
    </row>
    <row r="152" spans="54:88" ht="16.5" customHeight="1">
      <c r="BB152" s="174">
        <f>F232</f>
        <v>0.73108557927378526</v>
      </c>
      <c r="BC152" s="175">
        <f>BB152*'Res. Tank Design'!$D$55</f>
        <v>110.94098220817816</v>
      </c>
      <c r="BD152" s="37" t="s">
        <v>187</v>
      </c>
      <c r="BE152" s="169" t="str">
        <f t="shared" si="316"/>
        <v>π/4</v>
      </c>
      <c r="BF152" s="176">
        <f t="shared" si="316"/>
        <v>0.78539816339744828</v>
      </c>
      <c r="CI152" s="10">
        <f>CJ139</f>
        <v>1.57</v>
      </c>
      <c r="CJ152" s="10">
        <f>CI139</f>
        <v>0.85507246376811641</v>
      </c>
    </row>
    <row r="153" spans="54:88" ht="16.5" customHeight="1">
      <c r="BB153" s="174">
        <f>G232</f>
        <v>0.68526629594584676</v>
      </c>
      <c r="BC153" s="175">
        <f>BB153*'Res. Tank Design'!$D$55</f>
        <v>103.98798458302234</v>
      </c>
      <c r="BD153" s="37" t="s">
        <v>187</v>
      </c>
      <c r="BE153" s="169" t="str">
        <f t="shared" si="316"/>
        <v>π/6</v>
      </c>
      <c r="BF153" s="176">
        <f t="shared" si="316"/>
        <v>0.52359877559829882</v>
      </c>
      <c r="CI153" s="10">
        <f>CK141</f>
        <v>2.0933333333333333</v>
      </c>
      <c r="CJ153" s="10">
        <f>CI141</f>
        <v>0.78260869565217461</v>
      </c>
    </row>
    <row r="154" spans="54:88" ht="17.25" customHeight="1">
      <c r="BB154" s="177">
        <f>H232</f>
        <v>0.63949842995628348</v>
      </c>
      <c r="BC154" s="178">
        <f>BB154*'Res. Tank Design'!$D$55</f>
        <v>97.042789450739562</v>
      </c>
      <c r="BD154" s="48" t="s">
        <v>187</v>
      </c>
      <c r="BE154" s="170" t="str">
        <f t="shared" si="316"/>
        <v>π/12</v>
      </c>
      <c r="BF154" s="179">
        <f t="shared" si="316"/>
        <v>0.26179938779914941</v>
      </c>
      <c r="CI154" s="10">
        <f>CK143</f>
        <v>2.355</v>
      </c>
      <c r="CJ154" s="10">
        <f>CI143</f>
        <v>0</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90.393933407960077</v>
      </c>
      <c r="BE158" s="168">
        <f>'Design Spec'!$D$104</f>
        <v>225</v>
      </c>
      <c r="BF158" s="183">
        <f>'Res. Tank Design'!D$55</f>
        <v>151.7482841316334</v>
      </c>
    </row>
    <row r="159" spans="54:88" ht="16.5" customHeight="1">
      <c r="BB159" s="184" t="s">
        <v>881</v>
      </c>
      <c r="BC159" s="185">
        <f t="shared" si="317"/>
        <v>2.879793265790644</v>
      </c>
      <c r="BD159" s="169">
        <f>BD169</f>
        <v>97.042789450739562</v>
      </c>
      <c r="BE159" s="169">
        <f>'Design Spec'!$D$104</f>
        <v>225</v>
      </c>
      <c r="BF159" s="186">
        <f>'Res. Tank Design'!D$55</f>
        <v>151.7482841316334</v>
      </c>
    </row>
    <row r="160" spans="54:88" ht="16.5" customHeight="1">
      <c r="BB160" s="184" t="s">
        <v>882</v>
      </c>
      <c r="BC160" s="185">
        <f t="shared" si="317"/>
        <v>2.617993877991494</v>
      </c>
      <c r="BD160" s="169">
        <f>BD168</f>
        <v>103.98798458302234</v>
      </c>
      <c r="BE160" s="169">
        <f>'Design Spec'!$D$104</f>
        <v>225</v>
      </c>
      <c r="BF160" s="186">
        <f>'Res. Tank Design'!D$55</f>
        <v>151.7482841316334</v>
      </c>
    </row>
    <row r="161" spans="54:58" ht="16.5" customHeight="1">
      <c r="BB161" s="184" t="s">
        <v>883</v>
      </c>
      <c r="BC161" s="185">
        <f t="shared" si="317"/>
        <v>2.3561944901923448</v>
      </c>
      <c r="BD161" s="169">
        <f>BD167</f>
        <v>110.94098220817816</v>
      </c>
      <c r="BE161" s="169">
        <f>'Design Spec'!$D$104</f>
        <v>225</v>
      </c>
      <c r="BF161" s="186">
        <f>'Res. Tank Design'!D$55</f>
        <v>151.7482841316334</v>
      </c>
    </row>
    <row r="162" spans="54:58" ht="16.5" customHeight="1">
      <c r="BB162" s="184" t="s">
        <v>884</v>
      </c>
      <c r="BC162" s="185">
        <f t="shared" si="317"/>
        <v>2.0943951023931953</v>
      </c>
      <c r="BD162" s="169">
        <f>BD166</f>
        <v>118.06446378825703</v>
      </c>
      <c r="BE162" s="169">
        <f>'Design Spec'!$D$104</f>
        <v>225</v>
      </c>
      <c r="BF162" s="186">
        <f>'Res. Tank Design'!D$55</f>
        <v>151.7482841316334</v>
      </c>
    </row>
    <row r="163" spans="54:58" ht="16.5" customHeight="1">
      <c r="BB163" s="184" t="s">
        <v>885</v>
      </c>
      <c r="BC163" s="185">
        <f t="shared" si="317"/>
        <v>1.8325957145940459</v>
      </c>
      <c r="BD163" s="169">
        <f>BD165</f>
        <v>124.43412207071904</v>
      </c>
      <c r="BE163" s="169">
        <f>'Design Spec'!$D$104</f>
        <v>225</v>
      </c>
      <c r="BF163" s="186">
        <f>'Res. Tank Design'!D$55</f>
        <v>151.7482841316334</v>
      </c>
    </row>
    <row r="164" spans="54:58" ht="16.5" customHeight="1">
      <c r="BB164" s="184" t="s">
        <v>793</v>
      </c>
      <c r="BC164" s="185">
        <f t="shared" ref="BC164:BC169" si="318">BF149</f>
        <v>1.5707963267948966</v>
      </c>
      <c r="BD164" s="169">
        <f t="shared" ref="BD164:BD169" si="319">BC149</f>
        <v>127.13741597090601</v>
      </c>
      <c r="BE164" s="169">
        <f>'Design Spec'!$D$104</f>
        <v>225</v>
      </c>
      <c r="BF164" s="186">
        <f>'Res. Tank Design'!D$55</f>
        <v>151.7482841316334</v>
      </c>
    </row>
    <row r="165" spans="54:58" ht="16.5" customHeight="1">
      <c r="BB165" s="184" t="s">
        <v>794</v>
      </c>
      <c r="BC165" s="185">
        <f t="shared" si="318"/>
        <v>1.3089969389957472</v>
      </c>
      <c r="BD165" s="169">
        <f t="shared" si="319"/>
        <v>124.43412207071904</v>
      </c>
      <c r="BE165" s="169">
        <f>'Design Spec'!$D$104</f>
        <v>225</v>
      </c>
      <c r="BF165" s="186">
        <f>'Res. Tank Design'!D$55</f>
        <v>151.7482841316334</v>
      </c>
    </row>
    <row r="166" spans="54:58" ht="16.5" customHeight="1">
      <c r="BB166" s="184" t="s">
        <v>795</v>
      </c>
      <c r="BC166" s="185">
        <f t="shared" si="318"/>
        <v>1.0471975511965976</v>
      </c>
      <c r="BD166" s="169">
        <f t="shared" si="319"/>
        <v>118.06446378825703</v>
      </c>
      <c r="BE166" s="169">
        <f>'Design Spec'!$D$104</f>
        <v>225</v>
      </c>
      <c r="BF166" s="186">
        <f>'Res. Tank Design'!D$55</f>
        <v>151.7482841316334</v>
      </c>
    </row>
    <row r="167" spans="54:58" ht="16.5" customHeight="1">
      <c r="BB167" s="184" t="s">
        <v>796</v>
      </c>
      <c r="BC167" s="185">
        <f t="shared" si="318"/>
        <v>0.78539816339744828</v>
      </c>
      <c r="BD167" s="169">
        <f t="shared" si="319"/>
        <v>110.94098220817816</v>
      </c>
      <c r="BE167" s="169">
        <f>'Design Spec'!$D$104</f>
        <v>225</v>
      </c>
      <c r="BF167" s="186">
        <f>'Res. Tank Design'!D$55</f>
        <v>151.7482841316334</v>
      </c>
    </row>
    <row r="168" spans="54:58" ht="16.5" customHeight="1">
      <c r="BB168" s="184" t="s">
        <v>797</v>
      </c>
      <c r="BC168" s="185">
        <f t="shared" si="318"/>
        <v>0.52359877559829882</v>
      </c>
      <c r="BD168" s="169">
        <f t="shared" si="319"/>
        <v>103.98798458302234</v>
      </c>
      <c r="BE168" s="169">
        <f>'Design Spec'!$D$104</f>
        <v>225</v>
      </c>
      <c r="BF168" s="186">
        <f>'Res. Tank Design'!D$55</f>
        <v>151.7482841316334</v>
      </c>
    </row>
    <row r="169" spans="54:58" ht="16.5" customHeight="1">
      <c r="BB169" s="184" t="s">
        <v>798</v>
      </c>
      <c r="BC169" s="185">
        <f t="shared" si="318"/>
        <v>0.26179938779914941</v>
      </c>
      <c r="BD169" s="169">
        <f t="shared" si="319"/>
        <v>97.042789450739562</v>
      </c>
      <c r="BE169" s="169">
        <f>'Design Spec'!$D$104</f>
        <v>225</v>
      </c>
      <c r="BF169" s="186">
        <f>'Res. Tank Design'!D$55</f>
        <v>151.7482841316334</v>
      </c>
    </row>
    <row r="170" spans="54:58" ht="17.25" customHeight="1">
      <c r="BB170" s="187">
        <v>0</v>
      </c>
      <c r="BC170" s="188">
        <v>0</v>
      </c>
      <c r="BD170" s="189">
        <f>'Res. Tank Design'!D$56</f>
        <v>90.393933407960077</v>
      </c>
      <c r="BE170" s="170">
        <f>'Design Spec'!$D$104</f>
        <v>225</v>
      </c>
      <c r="BF170" s="189">
        <f>'Res. Tank Design'!D$55</f>
        <v>151.7482841316334</v>
      </c>
    </row>
    <row r="171" spans="54:58" ht="17.25" customHeight="1"/>
    <row r="172" spans="54:58" ht="17.25" customHeight="1">
      <c r="BB172" s="171" t="s">
        <v>692</v>
      </c>
      <c r="BC172" s="172" t="s">
        <v>866</v>
      </c>
      <c r="BD172" s="173" t="s">
        <v>134</v>
      </c>
      <c r="BE172" s="172" t="s">
        <v>875</v>
      </c>
      <c r="BF172" s="172" t="s">
        <v>876</v>
      </c>
    </row>
    <row r="173" spans="54:58" ht="16.5" customHeight="1">
      <c r="BB173" s="190">
        <f>O232</f>
        <v>1.0525046728452043</v>
      </c>
      <c r="BC173" s="191">
        <f>BB173*'Res. Tank Design'!$D$55</f>
        <v>159.71577814478593</v>
      </c>
      <c r="BD173" s="37" t="s">
        <v>187</v>
      </c>
      <c r="BE173" s="169" t="str">
        <f t="shared" ref="BE173:BF178" si="320">B33</f>
        <v>π/2</v>
      </c>
      <c r="BF173" s="169">
        <f t="shared" si="320"/>
        <v>1.5707963267948966</v>
      </c>
    </row>
    <row r="174" spans="54:58" ht="16.5" customHeight="1">
      <c r="BB174" s="190">
        <f>P232</f>
        <v>1.0187650116317908</v>
      </c>
      <c r="BC174" s="175">
        <f>BB174*'Res. Tank Design'!$D$55</f>
        <v>154.59584244846778</v>
      </c>
      <c r="BD174" s="37" t="s">
        <v>187</v>
      </c>
      <c r="BE174" s="169" t="str">
        <f t="shared" si="320"/>
        <v>5π/12</v>
      </c>
      <c r="BF174" s="169">
        <f t="shared" si="320"/>
        <v>1.3089969389957472</v>
      </c>
    </row>
    <row r="175" spans="54:58" ht="16.5" customHeight="1">
      <c r="BB175" s="190">
        <f>Q232</f>
        <v>0.92760296417956012</v>
      </c>
      <c r="BC175" s="175">
        <f>BB175*'Res. Tank Design'!$D$55</f>
        <v>140.76215816966524</v>
      </c>
      <c r="BD175" s="37" t="s">
        <v>187</v>
      </c>
      <c r="BE175" s="169" t="str">
        <f t="shared" si="320"/>
        <v>π/3</v>
      </c>
      <c r="BF175" s="176">
        <f t="shared" si="320"/>
        <v>1.0471975511965976</v>
      </c>
    </row>
    <row r="176" spans="54:58" ht="16.5" customHeight="1">
      <c r="BB176" s="190">
        <f>R232</f>
        <v>0.81952535281028016</v>
      </c>
      <c r="BC176" s="175">
        <f>BB176*'Res. Tank Design'!$D$55</f>
        <v>124.3615660913315</v>
      </c>
      <c r="BD176" s="37" t="s">
        <v>187</v>
      </c>
      <c r="BE176" s="169" t="str">
        <f t="shared" si="320"/>
        <v>π/4</v>
      </c>
      <c r="BF176" s="176">
        <f t="shared" si="320"/>
        <v>0.78539816339744828</v>
      </c>
    </row>
    <row r="177" spans="54:58" ht="16.5" customHeight="1">
      <c r="BB177" s="190">
        <f>S232</f>
        <v>0.72848670321948039</v>
      </c>
      <c r="BC177" s="175">
        <f>BB177*'Res. Tank Design'!$D$55</f>
        <v>110.5466072262666</v>
      </c>
      <c r="BD177" s="37" t="s">
        <v>187</v>
      </c>
      <c r="BE177" s="169" t="str">
        <f t="shared" si="320"/>
        <v>π/6</v>
      </c>
      <c r="BF177" s="176">
        <f t="shared" si="320"/>
        <v>0.52359877559829882</v>
      </c>
    </row>
    <row r="178" spans="54:58" ht="17.25" customHeight="1">
      <c r="BB178" s="192">
        <f>T232</f>
        <v>0.65544272085945621</v>
      </c>
      <c r="BC178" s="178">
        <f>BB178*'Res. Tank Design'!$D$55</f>
        <v>99.462308236991632</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90.393933407960077</v>
      </c>
      <c r="BE182" s="168">
        <f>'Design Spec'!$D$104</f>
        <v>225</v>
      </c>
      <c r="BF182" s="183">
        <f>'Res. Tank Design'!D$55</f>
        <v>151.7482841316334</v>
      </c>
    </row>
    <row r="183" spans="54:58" ht="16.5" customHeight="1">
      <c r="BB183" s="184" t="s">
        <v>881</v>
      </c>
      <c r="BC183" s="185">
        <f t="shared" si="321"/>
        <v>2.879793265790644</v>
      </c>
      <c r="BD183" s="169">
        <f>BD193</f>
        <v>99.462308236991632</v>
      </c>
      <c r="BE183" s="169">
        <f>'Design Spec'!$D$104</f>
        <v>225</v>
      </c>
      <c r="BF183" s="186">
        <f>'Res. Tank Design'!D$55</f>
        <v>151.7482841316334</v>
      </c>
    </row>
    <row r="184" spans="54:58" ht="16.5" customHeight="1">
      <c r="BB184" s="184" t="s">
        <v>882</v>
      </c>
      <c r="BC184" s="185">
        <f t="shared" si="321"/>
        <v>2.617993877991494</v>
      </c>
      <c r="BD184" s="169">
        <f>BD192</f>
        <v>110.5466072262666</v>
      </c>
      <c r="BE184" s="169">
        <f>'Design Spec'!$D$104</f>
        <v>225</v>
      </c>
      <c r="BF184" s="186">
        <f>'Res. Tank Design'!D$55</f>
        <v>151.7482841316334</v>
      </c>
    </row>
    <row r="185" spans="54:58" ht="16.5" customHeight="1">
      <c r="BB185" s="184" t="s">
        <v>883</v>
      </c>
      <c r="BC185" s="185">
        <f t="shared" si="321"/>
        <v>2.3561944901923448</v>
      </c>
      <c r="BD185" s="169">
        <f>BD191</f>
        <v>124.3615660913315</v>
      </c>
      <c r="BE185" s="169">
        <f>'Design Spec'!$D$104</f>
        <v>225</v>
      </c>
      <c r="BF185" s="186">
        <f>'Res. Tank Design'!D$55</f>
        <v>151.7482841316334</v>
      </c>
    </row>
    <row r="186" spans="54:58" ht="16.5" customHeight="1">
      <c r="BB186" s="184" t="s">
        <v>884</v>
      </c>
      <c r="BC186" s="185">
        <f t="shared" si="321"/>
        <v>2.0943951023931953</v>
      </c>
      <c r="BD186" s="169">
        <f>BD190</f>
        <v>140.76215816966524</v>
      </c>
      <c r="BE186" s="169">
        <f>'Design Spec'!$D$104</f>
        <v>225</v>
      </c>
      <c r="BF186" s="186">
        <f>'Res. Tank Design'!D$55</f>
        <v>151.7482841316334</v>
      </c>
    </row>
    <row r="187" spans="54:58" ht="16.5" customHeight="1">
      <c r="BB187" s="184" t="s">
        <v>885</v>
      </c>
      <c r="BC187" s="185">
        <f t="shared" si="321"/>
        <v>1.8325957145940459</v>
      </c>
      <c r="BD187" s="169">
        <f>BD189</f>
        <v>154.59584244846778</v>
      </c>
      <c r="BE187" s="169">
        <f>'Design Spec'!$D$104</f>
        <v>225</v>
      </c>
      <c r="BF187" s="186">
        <f>'Res. Tank Design'!D$55</f>
        <v>151.7482841316334</v>
      </c>
    </row>
    <row r="188" spans="54:58" ht="16.5" customHeight="1">
      <c r="BB188" s="184" t="s">
        <v>793</v>
      </c>
      <c r="BC188" s="185">
        <f t="shared" ref="BC188:BC193" si="322">BF173</f>
        <v>1.5707963267948966</v>
      </c>
      <c r="BD188" s="169">
        <f t="shared" ref="BD188:BD193" si="323">BC173</f>
        <v>159.71577814478593</v>
      </c>
      <c r="BE188" s="169">
        <f>'Design Spec'!$D$104</f>
        <v>225</v>
      </c>
      <c r="BF188" s="186">
        <f>'Res. Tank Design'!D$55</f>
        <v>151.7482841316334</v>
      </c>
    </row>
    <row r="189" spans="54:58" ht="16.5" customHeight="1">
      <c r="BB189" s="184" t="s">
        <v>794</v>
      </c>
      <c r="BC189" s="185">
        <f t="shared" si="322"/>
        <v>1.3089969389957472</v>
      </c>
      <c r="BD189" s="169">
        <f t="shared" si="323"/>
        <v>154.59584244846778</v>
      </c>
      <c r="BE189" s="169">
        <f>'Design Spec'!$D$104</f>
        <v>225</v>
      </c>
      <c r="BF189" s="186">
        <f>'Res. Tank Design'!D$55</f>
        <v>151.7482841316334</v>
      </c>
    </row>
    <row r="190" spans="54:58" ht="16.5" customHeight="1">
      <c r="BB190" s="184" t="s">
        <v>795</v>
      </c>
      <c r="BC190" s="185">
        <f t="shared" si="322"/>
        <v>1.0471975511965976</v>
      </c>
      <c r="BD190" s="169">
        <f t="shared" si="323"/>
        <v>140.76215816966524</v>
      </c>
      <c r="BE190" s="169">
        <f>'Design Spec'!$D$104</f>
        <v>225</v>
      </c>
      <c r="BF190" s="186">
        <f>'Res. Tank Design'!D$55</f>
        <v>151.7482841316334</v>
      </c>
    </row>
    <row r="191" spans="54:58" ht="16.5" customHeight="1">
      <c r="BB191" s="184" t="s">
        <v>796</v>
      </c>
      <c r="BC191" s="185">
        <f t="shared" si="322"/>
        <v>0.78539816339744828</v>
      </c>
      <c r="BD191" s="169">
        <f t="shared" si="323"/>
        <v>124.3615660913315</v>
      </c>
      <c r="BE191" s="169">
        <f>'Design Spec'!$D$104</f>
        <v>225</v>
      </c>
      <c r="BF191" s="186">
        <f>'Res. Tank Design'!D$55</f>
        <v>151.7482841316334</v>
      </c>
    </row>
    <row r="192" spans="54:58" ht="16.5" customHeight="1">
      <c r="BB192" s="184" t="s">
        <v>797</v>
      </c>
      <c r="BC192" s="185">
        <f t="shared" si="322"/>
        <v>0.52359877559829882</v>
      </c>
      <c r="BD192" s="169">
        <f t="shared" si="323"/>
        <v>110.5466072262666</v>
      </c>
      <c r="BE192" s="169">
        <f>'Design Spec'!$D$104</f>
        <v>225</v>
      </c>
      <c r="BF192" s="186">
        <f>'Res. Tank Design'!D$55</f>
        <v>151.7482841316334</v>
      </c>
    </row>
    <row r="193" spans="54:59" ht="16.5" customHeight="1">
      <c r="BB193" s="184" t="s">
        <v>798</v>
      </c>
      <c r="BC193" s="185">
        <f t="shared" si="322"/>
        <v>0.26179938779914941</v>
      </c>
      <c r="BD193" s="169">
        <f t="shared" si="323"/>
        <v>99.462308236991632</v>
      </c>
      <c r="BE193" s="169">
        <f>'Design Spec'!$D$104</f>
        <v>225</v>
      </c>
      <c r="BF193" s="186">
        <f>'Res. Tank Design'!D$55</f>
        <v>151.7482841316334</v>
      </c>
    </row>
    <row r="194" spans="54:59" ht="17.25" customHeight="1">
      <c r="BB194" s="187">
        <v>0</v>
      </c>
      <c r="BC194" s="188">
        <v>0</v>
      </c>
      <c r="BD194" s="189">
        <f>'Res. Tank Design'!D$56</f>
        <v>90.393933407960077</v>
      </c>
      <c r="BE194" s="170">
        <f>'Design Spec'!$D$104</f>
        <v>225</v>
      </c>
      <c r="BF194" s="189">
        <f>'Res. Tank Design'!D$55</f>
        <v>151.7482841316334</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1.6410701904546237</v>
      </c>
      <c r="BC197" s="175">
        <f>BB197*'Res. Tank Design'!$D$55</f>
        <v>249.02958554106198</v>
      </c>
      <c r="BD197" s="37" t="s">
        <v>187</v>
      </c>
      <c r="BE197" s="169" t="str">
        <f t="shared" ref="BE197:BF202" si="324">B33</f>
        <v>π/2</v>
      </c>
      <c r="BF197" s="168">
        <f t="shared" si="324"/>
        <v>1.5707963267948966</v>
      </c>
    </row>
    <row r="198" spans="54:59" ht="16.5" customHeight="1">
      <c r="BB198" s="190">
        <f>J232</f>
        <v>1.6019910739169161</v>
      </c>
      <c r="BC198" s="175">
        <f>BB198*'Res. Tank Design'!$D$55</f>
        <v>243.09939666108471</v>
      </c>
      <c r="BD198" s="37" t="s">
        <v>187</v>
      </c>
      <c r="BE198" s="169" t="str">
        <f t="shared" si="324"/>
        <v>5π/12</v>
      </c>
      <c r="BF198" s="169">
        <f t="shared" si="324"/>
        <v>1.3089969389957472</v>
      </c>
    </row>
    <row r="199" spans="54:59" ht="16.5" customHeight="1">
      <c r="BB199" s="190">
        <f>K232</f>
        <v>1.4354109655390246</v>
      </c>
      <c r="BC199" s="175">
        <f>BB199*'Res. Tank Design'!$D$55</f>
        <v>217.82115104427814</v>
      </c>
      <c r="BD199" s="37" t="s">
        <v>187</v>
      </c>
      <c r="BE199" s="169" t="str">
        <f t="shared" si="324"/>
        <v>π/3</v>
      </c>
      <c r="BF199" s="176">
        <f t="shared" si="324"/>
        <v>1.0471975511965976</v>
      </c>
    </row>
    <row r="200" spans="54:59" ht="16.5" customHeight="1">
      <c r="BB200" s="190">
        <f>L232</f>
        <v>1.1063342297586281</v>
      </c>
      <c r="BC200" s="175">
        <f>BB200*'Res. Tank Design'!$D$55</f>
        <v>167.88432104196409</v>
      </c>
      <c r="BD200" s="37" t="s">
        <v>187</v>
      </c>
      <c r="BE200" s="169" t="str">
        <f t="shared" si="324"/>
        <v>π/4</v>
      </c>
      <c r="BF200" s="176">
        <f t="shared" si="324"/>
        <v>0.78539816339744828</v>
      </c>
    </row>
    <row r="201" spans="54:59" ht="16.5" customHeight="1">
      <c r="BB201" s="190">
        <f>M232</f>
        <v>0.84376322185218966</v>
      </c>
      <c r="BC201" s="175">
        <f>BB201*'Res. Tank Design'!$D$55</f>
        <v>128.03962112944851</v>
      </c>
      <c r="BD201" s="37" t="s">
        <v>187</v>
      </c>
      <c r="BE201" s="169" t="str">
        <f t="shared" si="324"/>
        <v>π/6</v>
      </c>
      <c r="BF201" s="176">
        <f t="shared" si="324"/>
        <v>0.52359877559829882</v>
      </c>
    </row>
    <row r="202" spans="54:59" ht="17.25" customHeight="1">
      <c r="BB202" s="192">
        <f>N232</f>
        <v>0.69217016081211913</v>
      </c>
      <c r="BC202" s="178">
        <f>BB202*'Res. Tank Design'!$D$55</f>
        <v>105.03563423035584</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90.393933407960077</v>
      </c>
      <c r="BE206" s="168">
        <f>'Design Spec'!$D$104</f>
        <v>225</v>
      </c>
      <c r="BF206" s="183">
        <f>'Res. Tank Design'!D$55</f>
        <v>151.7482841316334</v>
      </c>
      <c r="BG206" s="183">
        <f>'Res. Tank Design'!D$56</f>
        <v>90.393933407960077</v>
      </c>
    </row>
    <row r="207" spans="54:59" ht="16.5" customHeight="1">
      <c r="BB207" s="184" t="s">
        <v>881</v>
      </c>
      <c r="BC207" s="185">
        <f t="shared" si="325"/>
        <v>2.879793265790644</v>
      </c>
      <c r="BD207" s="169">
        <f>BD217</f>
        <v>105.03563423035584</v>
      </c>
      <c r="BE207" s="169">
        <f>'Design Spec'!$D$104</f>
        <v>225</v>
      </c>
      <c r="BF207" s="186">
        <f>'Res. Tank Design'!D$55</f>
        <v>151.7482841316334</v>
      </c>
      <c r="BG207" s="186">
        <f>'Res. Tank Design'!D$56</f>
        <v>90.393933407960077</v>
      </c>
    </row>
    <row r="208" spans="54:59" ht="16.5" customHeight="1">
      <c r="BB208" s="184" t="s">
        <v>882</v>
      </c>
      <c r="BC208" s="185">
        <f t="shared" si="325"/>
        <v>2.617993877991494</v>
      </c>
      <c r="BD208" s="169">
        <f>BD216</f>
        <v>128.03962112944851</v>
      </c>
      <c r="BE208" s="169">
        <f>'Design Spec'!$D$104</f>
        <v>225</v>
      </c>
      <c r="BF208" s="186">
        <f>'Res. Tank Design'!D$55</f>
        <v>151.7482841316334</v>
      </c>
      <c r="BG208" s="186">
        <f>'Res. Tank Design'!D$56</f>
        <v>90.393933407960077</v>
      </c>
    </row>
    <row r="209" spans="2:59" ht="16.5" customHeight="1">
      <c r="BB209" s="184" t="s">
        <v>883</v>
      </c>
      <c r="BC209" s="185">
        <f t="shared" si="325"/>
        <v>2.3561944901923448</v>
      </c>
      <c r="BD209" s="169">
        <f>BD215</f>
        <v>167.88432104196409</v>
      </c>
      <c r="BE209" s="169">
        <f>'Design Spec'!$D$104</f>
        <v>225</v>
      </c>
      <c r="BF209" s="186">
        <f>'Res. Tank Design'!D$55</f>
        <v>151.7482841316334</v>
      </c>
      <c r="BG209" s="186">
        <f>'Res. Tank Design'!D$56</f>
        <v>90.393933407960077</v>
      </c>
    </row>
    <row r="210" spans="2:59" ht="16.5" customHeight="1">
      <c r="BB210" s="184" t="s">
        <v>884</v>
      </c>
      <c r="BC210" s="185">
        <f t="shared" si="325"/>
        <v>2.0943951023931953</v>
      </c>
      <c r="BD210" s="169">
        <f>BD214</f>
        <v>217.82115104427814</v>
      </c>
      <c r="BE210" s="169">
        <f>'Design Spec'!$D$104</f>
        <v>225</v>
      </c>
      <c r="BF210" s="186">
        <f>'Res. Tank Design'!D$55</f>
        <v>151.7482841316334</v>
      </c>
      <c r="BG210" s="186">
        <f>'Res. Tank Design'!D$56</f>
        <v>90.393933407960077</v>
      </c>
    </row>
    <row r="211" spans="2:59" ht="16.5" customHeight="1">
      <c r="BB211" s="184" t="s">
        <v>885</v>
      </c>
      <c r="BC211" s="185">
        <f t="shared" si="325"/>
        <v>1.8325957145940459</v>
      </c>
      <c r="BD211" s="169">
        <f>BD213</f>
        <v>243.09939666108471</v>
      </c>
      <c r="BE211" s="169">
        <f>'Design Spec'!$D$104</f>
        <v>225</v>
      </c>
      <c r="BF211" s="186">
        <f>'Res. Tank Design'!D$55</f>
        <v>151.7482841316334</v>
      </c>
      <c r="BG211" s="186">
        <f>'Res. Tank Design'!D$56</f>
        <v>90.393933407960077</v>
      </c>
    </row>
    <row r="212" spans="2:59" ht="16.5" customHeight="1">
      <c r="BB212" s="184" t="s">
        <v>793</v>
      </c>
      <c r="BC212" s="185">
        <f t="shared" ref="BC212:BC218" si="326">BF197</f>
        <v>1.5707963267948966</v>
      </c>
      <c r="BD212" s="169">
        <f t="shared" ref="BD212:BD217" si="327">BC197</f>
        <v>249.02958554106198</v>
      </c>
      <c r="BE212" s="169">
        <f>'Design Spec'!$D$104</f>
        <v>225</v>
      </c>
      <c r="BF212" s="186">
        <f>'Res. Tank Design'!D$55</f>
        <v>151.7482841316334</v>
      </c>
      <c r="BG212" s="186">
        <f>'Res. Tank Design'!D$56</f>
        <v>90.393933407960077</v>
      </c>
    </row>
    <row r="213" spans="2:59" ht="16.5" customHeight="1">
      <c r="BB213" s="184" t="s">
        <v>794</v>
      </c>
      <c r="BC213" s="185">
        <f t="shared" si="326"/>
        <v>1.3089969389957472</v>
      </c>
      <c r="BD213" s="169">
        <f t="shared" si="327"/>
        <v>243.09939666108471</v>
      </c>
      <c r="BE213" s="169">
        <f>'Design Spec'!$D$104</f>
        <v>225</v>
      </c>
      <c r="BF213" s="186">
        <f>'Res. Tank Design'!D$55</f>
        <v>151.7482841316334</v>
      </c>
      <c r="BG213" s="186">
        <f>'Res. Tank Design'!D$56</f>
        <v>90.393933407960077</v>
      </c>
    </row>
    <row r="214" spans="2:59" ht="16.5" customHeight="1">
      <c r="BB214" s="184" t="s">
        <v>795</v>
      </c>
      <c r="BC214" s="185">
        <f t="shared" si="326"/>
        <v>1.0471975511965976</v>
      </c>
      <c r="BD214" s="169">
        <f t="shared" si="327"/>
        <v>217.82115104427814</v>
      </c>
      <c r="BE214" s="169">
        <f>'Design Spec'!$D$104</f>
        <v>225</v>
      </c>
      <c r="BF214" s="186">
        <f>'Res. Tank Design'!D$55</f>
        <v>151.7482841316334</v>
      </c>
      <c r="BG214" s="186">
        <f>'Res. Tank Design'!D$56</f>
        <v>90.393933407960077</v>
      </c>
    </row>
    <row r="215" spans="2:59" ht="16.5" customHeight="1">
      <c r="BB215" s="184" t="s">
        <v>796</v>
      </c>
      <c r="BC215" s="185">
        <f t="shared" si="326"/>
        <v>0.78539816339744828</v>
      </c>
      <c r="BD215" s="169">
        <f t="shared" si="327"/>
        <v>167.88432104196409</v>
      </c>
      <c r="BE215" s="169">
        <f>'Design Spec'!$D$104</f>
        <v>225</v>
      </c>
      <c r="BF215" s="186">
        <f>'Res. Tank Design'!D$55</f>
        <v>151.7482841316334</v>
      </c>
      <c r="BG215" s="186">
        <f>'Res. Tank Design'!D$56</f>
        <v>90.393933407960077</v>
      </c>
    </row>
    <row r="216" spans="2:59" ht="16.5" customHeight="1">
      <c r="BB216" s="184" t="s">
        <v>797</v>
      </c>
      <c r="BC216" s="185">
        <f t="shared" si="326"/>
        <v>0.52359877559829882</v>
      </c>
      <c r="BD216" s="169">
        <f t="shared" si="327"/>
        <v>128.03962112944851</v>
      </c>
      <c r="BE216" s="169">
        <f>'Design Spec'!$D$104</f>
        <v>225</v>
      </c>
      <c r="BF216" s="186">
        <f>'Res. Tank Design'!D$55</f>
        <v>151.7482841316334</v>
      </c>
      <c r="BG216" s="186">
        <f>'Res. Tank Design'!D$56</f>
        <v>90.393933407960077</v>
      </c>
    </row>
    <row r="217" spans="2:59" ht="16.5" customHeight="1">
      <c r="BB217" s="184" t="s">
        <v>798</v>
      </c>
      <c r="BC217" s="185">
        <f t="shared" si="326"/>
        <v>0.26179938779914941</v>
      </c>
      <c r="BD217" s="169">
        <f t="shared" si="327"/>
        <v>105.03563423035584</v>
      </c>
      <c r="BE217" s="169">
        <f>'Design Spec'!$D$104</f>
        <v>225</v>
      </c>
      <c r="BF217" s="186">
        <f>'Res. Tank Design'!D$55</f>
        <v>151.7482841316334</v>
      </c>
      <c r="BG217" s="186">
        <f>'Res. Tank Design'!D$56</f>
        <v>90.393933407960077</v>
      </c>
    </row>
    <row r="218" spans="2:59" ht="17.25" customHeight="1">
      <c r="BB218" s="187">
        <v>0</v>
      </c>
      <c r="BC218" s="188">
        <f t="shared" si="326"/>
        <v>0</v>
      </c>
      <c r="BD218" s="189">
        <f>'Res. Tank Design'!D$56</f>
        <v>90.393933407960077</v>
      </c>
      <c r="BE218" s="170">
        <f>'Design Spec'!$D$104</f>
        <v>225</v>
      </c>
      <c r="BF218" s="189">
        <f>'Res. Tank Design'!D$55</f>
        <v>151.7482841316334</v>
      </c>
      <c r="BG218" s="189">
        <f>'Res. Tank Design'!D$56</f>
        <v>90.393933407960077</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1.2294081632653062</v>
      </c>
      <c r="D221" s="10">
        <f>$C$54</f>
        <v>1.2727769874302819</v>
      </c>
      <c r="E221" s="10">
        <f>$C$55</f>
        <v>1.4195982680102959</v>
      </c>
      <c r="F221" s="10">
        <f>$C$56</f>
        <v>1.7386456981819924</v>
      </c>
      <c r="G221" s="10">
        <f>$C$57</f>
        <v>2.4588163265306129</v>
      </c>
      <c r="H221" s="10">
        <f>$C$58</f>
        <v>4.7500683837942672</v>
      </c>
      <c r="I221" s="10">
        <f>$C$67</f>
        <v>0.64086170212765958</v>
      </c>
      <c r="J221" s="10">
        <f>$C$68</f>
        <v>0.6634688551498279</v>
      </c>
      <c r="K221" s="10">
        <f>$C$69</f>
        <v>0.74000335247345217</v>
      </c>
      <c r="L221" s="10">
        <f>$C$70</f>
        <v>0.90631531075444283</v>
      </c>
      <c r="M221" s="10">
        <f>$C$71</f>
        <v>1.2817234042553194</v>
      </c>
      <c r="N221" s="10">
        <f>$C$72</f>
        <v>2.4760994766587139</v>
      </c>
      <c r="O221" s="10">
        <f>$C$81</f>
        <v>0.94659599123241789</v>
      </c>
      <c r="P221" s="10">
        <f>$C$82</f>
        <v>0.97998828219459411</v>
      </c>
      <c r="Q221" s="10">
        <f>$C$83</f>
        <v>1.0930349007037141</v>
      </c>
      <c r="R221" s="10">
        <f>$C$84</f>
        <v>1.3386888888888888</v>
      </c>
      <c r="S221" s="10">
        <f>$C$85</f>
        <v>1.8931919824648362</v>
      </c>
      <c r="T221" s="10">
        <f>$C$86</f>
        <v>3.6573660599723721</v>
      </c>
    </row>
    <row r="222" spans="2:59">
      <c r="B222" s="10" t="s">
        <v>1058</v>
      </c>
      <c r="C222" s="10">
        <f>$C$41</f>
        <v>0.76549333845027701</v>
      </c>
      <c r="D222" s="10">
        <f>$C$42</f>
        <v>0.71421500798798809</v>
      </c>
      <c r="E222" s="10">
        <f>$C$43</f>
        <v>0.57412000383770767</v>
      </c>
      <c r="F222" s="10">
        <f>$C$44</f>
        <v>0.38274666922513839</v>
      </c>
      <c r="G222" s="10">
        <f>$C$45</f>
        <v>0.1913733346125692</v>
      </c>
      <c r="H222" s="10">
        <f>$C$46</f>
        <v>5.127833046228894E-2</v>
      </c>
      <c r="I222" s="10">
        <f>$C$41</f>
        <v>0.76549333845027701</v>
      </c>
      <c r="J222" s="10">
        <f>$C$42</f>
        <v>0.71421500798798809</v>
      </c>
      <c r="K222" s="10">
        <f>$C$43</f>
        <v>0.57412000383770767</v>
      </c>
      <c r="L222" s="10">
        <f>$C$44</f>
        <v>0.38274666922513839</v>
      </c>
      <c r="M222" s="10">
        <f>$C$45</f>
        <v>0.1913733346125692</v>
      </c>
      <c r="N222" s="10">
        <f>$C$46</f>
        <v>5.127833046228894E-2</v>
      </c>
      <c r="O222" s="10">
        <f>$C$41</f>
        <v>0.76549333845027701</v>
      </c>
      <c r="P222" s="10">
        <f>$C$42</f>
        <v>0.71421500798798809</v>
      </c>
      <c r="Q222" s="10">
        <f>$C$43</f>
        <v>0.57412000383770767</v>
      </c>
      <c r="R222" s="10">
        <f>$C$44</f>
        <v>0.38274666922513839</v>
      </c>
      <c r="S222" s="10">
        <f>$C$45</f>
        <v>0.1913733346125692</v>
      </c>
      <c r="T222" s="10">
        <f>$C$46</f>
        <v>5.127833046228894E-2</v>
      </c>
    </row>
    <row r="223" spans="2:59">
      <c r="B223" s="10" t="s">
        <v>1059</v>
      </c>
      <c r="C223" s="10">
        <f t="shared" ref="C223:T223" si="328">(C222^2-2*$C$23*(1+$C$23))/$C$23^2</f>
        <v>-3.6992395001264455</v>
      </c>
      <c r="D223" s="10">
        <f t="shared" si="328"/>
        <v>-3.9500724706271675</v>
      </c>
      <c r="E223" s="10">
        <f t="shared" si="328"/>
        <v>-4.5467313097302169</v>
      </c>
      <c r="F223" s="10">
        <f t="shared" si="328"/>
        <v>-5.1520826023043389</v>
      </c>
      <c r="G223" s="10">
        <f t="shared" si="328"/>
        <v>-5.5152933778488125</v>
      </c>
      <c r="H223" s="10">
        <f t="shared" si="328"/>
        <v>-5.6276711828925627</v>
      </c>
      <c r="I223" s="10">
        <f t="shared" si="328"/>
        <v>-3.6992395001264455</v>
      </c>
      <c r="J223" s="10">
        <f t="shared" si="328"/>
        <v>-3.9500724706271675</v>
      </c>
      <c r="K223" s="10">
        <f t="shared" si="328"/>
        <v>-4.5467313097302169</v>
      </c>
      <c r="L223" s="10">
        <f t="shared" si="328"/>
        <v>-5.1520826023043389</v>
      </c>
      <c r="M223" s="10">
        <f t="shared" si="328"/>
        <v>-5.5152933778488125</v>
      </c>
      <c r="N223" s="10">
        <f t="shared" si="328"/>
        <v>-5.6276711828925627</v>
      </c>
      <c r="O223" s="10">
        <f t="shared" si="328"/>
        <v>-3.6992395001264455</v>
      </c>
      <c r="P223" s="10">
        <f t="shared" si="328"/>
        <v>-3.9500724706271675</v>
      </c>
      <c r="Q223" s="10">
        <f t="shared" si="328"/>
        <v>-4.5467313097302169</v>
      </c>
      <c r="R223" s="10">
        <f t="shared" si="328"/>
        <v>-5.1520826023043389</v>
      </c>
      <c r="S223" s="10">
        <f t="shared" si="328"/>
        <v>-5.5152933778488125</v>
      </c>
      <c r="T223" s="10">
        <f t="shared" si="328"/>
        <v>-5.6276711828925627</v>
      </c>
    </row>
    <row r="224" spans="2:59">
      <c r="B224" s="10" t="s">
        <v>1060</v>
      </c>
      <c r="C224" s="10">
        <f t="shared" ref="C224:T224" si="329">((1+$C$23)^2-2*C222^2-1/C221^2)/$C$23^2</f>
        <v>1.8807310132868003</v>
      </c>
      <c r="D224" s="10">
        <f t="shared" si="329"/>
        <v>2.5289095278934628</v>
      </c>
      <c r="E224" s="10">
        <f t="shared" si="329"/>
        <v>4.1225070011366922</v>
      </c>
      <c r="F224" s="10">
        <f t="shared" si="329"/>
        <v>5.8800019549272857</v>
      </c>
      <c r="G224" s="10">
        <f t="shared" si="329"/>
        <v>7.1532158746585814</v>
      </c>
      <c r="H224" s="10">
        <f t="shared" si="329"/>
        <v>7.7782512797832126</v>
      </c>
      <c r="I224" s="10">
        <f t="shared" si="329"/>
        <v>-3.9811746796969834</v>
      </c>
      <c r="J224" s="10">
        <f t="shared" si="329"/>
        <v>-2.9403229409547182</v>
      </c>
      <c r="K224" s="10">
        <f t="shared" si="329"/>
        <v>-0.27392226860114438</v>
      </c>
      <c r="L224" s="10">
        <f t="shared" si="329"/>
        <v>2.949049108435394</v>
      </c>
      <c r="M224" s="10">
        <f t="shared" si="329"/>
        <v>5.6877394514126358</v>
      </c>
      <c r="N224" s="10">
        <f t="shared" si="329"/>
        <v>7.3855780556476116</v>
      </c>
      <c r="O224" s="10">
        <f t="shared" si="329"/>
        <v>0.37858921255171646</v>
      </c>
      <c r="P224" s="10">
        <f t="shared" si="329"/>
        <v>1.1273921477643787</v>
      </c>
      <c r="Q224" s="10">
        <f t="shared" si="329"/>
        <v>2.9959006505853782</v>
      </c>
      <c r="R224" s="10">
        <f t="shared" si="329"/>
        <v>5.128931054559744</v>
      </c>
      <c r="S224" s="10">
        <f t="shared" si="329"/>
        <v>6.7776804244748101</v>
      </c>
      <c r="T224" s="10">
        <f t="shared" si="329"/>
        <v>7.677626859177213</v>
      </c>
    </row>
    <row r="225" spans="2:20">
      <c r="B225" s="10" t="s">
        <v>1061</v>
      </c>
      <c r="C225" s="10">
        <f t="shared" ref="C225:T225" si="330">C222^2/$C$23^2</f>
        <v>1.9371241362371909</v>
      </c>
      <c r="D225" s="10">
        <f t="shared" si="330"/>
        <v>1.6862911657364685</v>
      </c>
      <c r="E225" s="10">
        <f t="shared" si="330"/>
        <v>1.0896323266334196</v>
      </c>
      <c r="F225" s="10">
        <f t="shared" si="330"/>
        <v>0.48428103405929745</v>
      </c>
      <c r="G225" s="10">
        <f t="shared" si="330"/>
        <v>0.12107025851482436</v>
      </c>
      <c r="H225" s="10">
        <f t="shared" si="330"/>
        <v>8.6924534710734191E-3</v>
      </c>
      <c r="I225" s="10">
        <f t="shared" si="330"/>
        <v>1.9371241362371909</v>
      </c>
      <c r="J225" s="10">
        <f t="shared" si="330"/>
        <v>1.6862911657364685</v>
      </c>
      <c r="K225" s="10">
        <f t="shared" si="330"/>
        <v>1.0896323266334196</v>
      </c>
      <c r="L225" s="10">
        <f t="shared" si="330"/>
        <v>0.48428103405929745</v>
      </c>
      <c r="M225" s="10">
        <f t="shared" si="330"/>
        <v>0.12107025851482436</v>
      </c>
      <c r="N225" s="10">
        <f t="shared" si="330"/>
        <v>8.6924534710734191E-3</v>
      </c>
      <c r="O225" s="10">
        <f t="shared" si="330"/>
        <v>1.9371241362371909</v>
      </c>
      <c r="P225" s="10">
        <f t="shared" si="330"/>
        <v>1.6862911657364685</v>
      </c>
      <c r="Q225" s="10">
        <f t="shared" si="330"/>
        <v>1.0896323266334196</v>
      </c>
      <c r="R225" s="10">
        <f t="shared" si="330"/>
        <v>0.48428103405929745</v>
      </c>
      <c r="S225" s="10">
        <f t="shared" si="330"/>
        <v>0.12107025851482436</v>
      </c>
      <c r="T225" s="10">
        <f t="shared" si="330"/>
        <v>8.6924534710734191E-3</v>
      </c>
    </row>
    <row r="226" spans="2:20">
      <c r="B226" s="10" t="s">
        <v>1062</v>
      </c>
      <c r="C226" s="10">
        <f t="shared" ref="C226:T226" si="331">C224-C223^2/3</f>
        <v>-2.6807266131451177</v>
      </c>
      <c r="D226" s="10">
        <f t="shared" si="331"/>
        <v>-2.6721146465087422</v>
      </c>
      <c r="E226" s="10">
        <f t="shared" si="331"/>
        <v>-2.7684148664903256</v>
      </c>
      <c r="F226" s="10">
        <f t="shared" si="331"/>
        <v>-2.9679830920617309</v>
      </c>
      <c r="G226" s="10">
        <f t="shared" si="331"/>
        <v>-2.9862711399224064</v>
      </c>
      <c r="H226" s="10">
        <f t="shared" si="331"/>
        <v>-2.7786430344699138</v>
      </c>
      <c r="I226" s="10">
        <f t="shared" si="331"/>
        <v>-8.5426323061289011</v>
      </c>
      <c r="J226" s="10">
        <f t="shared" si="331"/>
        <v>-8.1413471153569237</v>
      </c>
      <c r="K226" s="10">
        <f t="shared" si="331"/>
        <v>-7.1648441362281625</v>
      </c>
      <c r="L226" s="10">
        <f t="shared" si="331"/>
        <v>-5.8989359385536222</v>
      </c>
      <c r="M226" s="10">
        <f t="shared" si="331"/>
        <v>-4.4517475631683521</v>
      </c>
      <c r="N226" s="10">
        <f t="shared" si="331"/>
        <v>-3.1713162586055148</v>
      </c>
      <c r="O226" s="10">
        <f t="shared" si="331"/>
        <v>-4.1828684138802013</v>
      </c>
      <c r="P226" s="10">
        <f t="shared" si="331"/>
        <v>-4.0736320266378261</v>
      </c>
      <c r="Q226" s="10">
        <f t="shared" si="331"/>
        <v>-3.8950212170416396</v>
      </c>
      <c r="R226" s="10">
        <f t="shared" si="331"/>
        <v>-3.7190539924292727</v>
      </c>
      <c r="S226" s="10">
        <f t="shared" si="331"/>
        <v>-3.3618065901061778</v>
      </c>
      <c r="T226" s="10">
        <f t="shared" si="331"/>
        <v>-2.8792674550759134</v>
      </c>
    </row>
    <row r="227" spans="2:20">
      <c r="B227" s="10" t="s">
        <v>1063</v>
      </c>
      <c r="C227" s="10">
        <f t="shared" ref="C227:T227" si="332">2*C223^3/27-C223*C224/3+C225</f>
        <v>0.50645468075831945</v>
      </c>
      <c r="D227" s="10">
        <f t="shared" si="332"/>
        <v>0.4506559323776973</v>
      </c>
      <c r="E227" s="10">
        <f t="shared" si="332"/>
        <v>0.37512727697363046</v>
      </c>
      <c r="F227" s="10">
        <f t="shared" si="332"/>
        <v>0.45224410832674222</v>
      </c>
      <c r="G227" s="10">
        <f t="shared" si="332"/>
        <v>0.84459928727897371</v>
      </c>
      <c r="H227" s="10">
        <f t="shared" si="332"/>
        <v>1.3974548885010996</v>
      </c>
      <c r="I227" s="10">
        <f t="shared" si="332"/>
        <v>-6.7217430144089132</v>
      </c>
      <c r="J227" s="10">
        <f t="shared" si="332"/>
        <v>-6.7506322711747888</v>
      </c>
      <c r="K227" s="10">
        <f t="shared" si="332"/>
        <v>-6.2880002602701612</v>
      </c>
      <c r="L227" s="10">
        <f t="shared" si="332"/>
        <v>-4.5812596145350089</v>
      </c>
      <c r="M227" s="10">
        <f t="shared" si="332"/>
        <v>-1.8495781835616689</v>
      </c>
      <c r="N227" s="10">
        <f t="shared" si="332"/>
        <v>0.66084295924728786</v>
      </c>
      <c r="O227" s="10">
        <f t="shared" si="332"/>
        <v>-1.3458060805984438</v>
      </c>
      <c r="P227" s="10">
        <f t="shared" si="332"/>
        <v>-1.3947091410734382</v>
      </c>
      <c r="Q227" s="10">
        <f t="shared" si="332"/>
        <v>-1.332331512290555</v>
      </c>
      <c r="R227" s="10">
        <f t="shared" si="332"/>
        <v>-0.8376156646334797</v>
      </c>
      <c r="S227" s="10">
        <f t="shared" si="332"/>
        <v>0.15420322676363188</v>
      </c>
      <c r="T227" s="10">
        <f t="shared" si="332"/>
        <v>1.2086945044545501</v>
      </c>
    </row>
    <row r="228" spans="2:20">
      <c r="B228" s="10" t="s">
        <v>1064</v>
      </c>
      <c r="C228" s="10">
        <f t="shared" ref="C228:T228" si="333">IF(C226&lt;0,2*SQRT(-C226/3),NA())</f>
        <v>1.8905824898322097</v>
      </c>
      <c r="D228" s="10">
        <f t="shared" si="333"/>
        <v>1.8875432521344573</v>
      </c>
      <c r="E228" s="10">
        <f t="shared" si="333"/>
        <v>1.9212547519751515</v>
      </c>
      <c r="F228" s="10">
        <f t="shared" si="333"/>
        <v>1.9892990698775388</v>
      </c>
      <c r="G228" s="10">
        <f t="shared" si="333"/>
        <v>1.995418465693318</v>
      </c>
      <c r="H228" s="10">
        <f t="shared" si="333"/>
        <v>1.9248006076716668</v>
      </c>
      <c r="I228" s="10">
        <f t="shared" si="333"/>
        <v>3.3749335412970534</v>
      </c>
      <c r="J228" s="10">
        <f t="shared" si="333"/>
        <v>3.2947123527164801</v>
      </c>
      <c r="K228" s="10">
        <f t="shared" si="333"/>
        <v>3.0908130831499472</v>
      </c>
      <c r="L228" s="10">
        <f t="shared" si="333"/>
        <v>2.8045049327950013</v>
      </c>
      <c r="M228" s="10">
        <f t="shared" si="333"/>
        <v>2.4363216982898219</v>
      </c>
      <c r="N228" s="10">
        <f t="shared" si="333"/>
        <v>2.0563126411469357</v>
      </c>
      <c r="O228" s="10">
        <f t="shared" si="333"/>
        <v>2.3616007040085338</v>
      </c>
      <c r="P228" s="10">
        <f t="shared" si="333"/>
        <v>2.3305598831290379</v>
      </c>
      <c r="Q228" s="10">
        <f t="shared" si="333"/>
        <v>2.2788948248486998</v>
      </c>
      <c r="R228" s="10">
        <f t="shared" si="333"/>
        <v>2.2268225471672332</v>
      </c>
      <c r="S228" s="10">
        <f t="shared" si="333"/>
        <v>2.1171699947827141</v>
      </c>
      <c r="T228" s="10">
        <f t="shared" si="333"/>
        <v>1.9593425615329625</v>
      </c>
    </row>
    <row r="229" spans="2:20">
      <c r="B229" s="10" t="s">
        <v>1065</v>
      </c>
      <c r="C229" s="10">
        <f t="shared" ref="C229:T229" si="334">IF(ISNA(C228),NA(),3*C227/(C226*C228))</f>
        <v>-0.29978761492730088</v>
      </c>
      <c r="D229" s="10">
        <f t="shared" si="334"/>
        <v>-0.26804909642080715</v>
      </c>
      <c r="E229" s="10">
        <f t="shared" si="334"/>
        <v>-0.21158446215850293</v>
      </c>
      <c r="F229" s="10">
        <f t="shared" si="334"/>
        <v>-0.22979081758961412</v>
      </c>
      <c r="G229" s="10">
        <f t="shared" si="334"/>
        <v>-0.42521516143045235</v>
      </c>
      <c r="H229" s="10">
        <f t="shared" si="334"/>
        <v>-0.78386368938363682</v>
      </c>
      <c r="I229" s="10">
        <f t="shared" si="334"/>
        <v>0.69943316320813653</v>
      </c>
      <c r="J229" s="10">
        <f t="shared" si="334"/>
        <v>0.75500865466227884</v>
      </c>
      <c r="K229" s="10">
        <f t="shared" si="334"/>
        <v>0.85183271752250711</v>
      </c>
      <c r="L229" s="10">
        <f t="shared" si="334"/>
        <v>0.83076132455990115</v>
      </c>
      <c r="M229" s="10">
        <f t="shared" si="334"/>
        <v>0.51159793879776461</v>
      </c>
      <c r="N229" s="10">
        <f t="shared" si="334"/>
        <v>-0.30401206728638186</v>
      </c>
      <c r="O229" s="10">
        <f t="shared" si="334"/>
        <v>0.40871734514877028</v>
      </c>
      <c r="P229" s="10">
        <f t="shared" si="334"/>
        <v>0.4407200809814924</v>
      </c>
      <c r="Q229" s="10">
        <f t="shared" si="334"/>
        <v>0.45029740561836945</v>
      </c>
      <c r="R229" s="10">
        <f t="shared" si="334"/>
        <v>0.30342261854394004</v>
      </c>
      <c r="S229" s="10">
        <f t="shared" si="334"/>
        <v>-6.499594488256126E-2</v>
      </c>
      <c r="T229" s="10">
        <f t="shared" si="334"/>
        <v>-0.64275493737836575</v>
      </c>
    </row>
    <row r="230" spans="2:20">
      <c r="B230" s="10" t="s">
        <v>1066</v>
      </c>
      <c r="C230" s="10">
        <f t="shared" ref="C230:T230" si="335">IF(OR(ISNA(C229),ABS(C229)&gt;1),NA(),ACOS(C229)/3)</f>
        <v>0.62508878285031777</v>
      </c>
      <c r="D230" s="10">
        <f t="shared" si="335"/>
        <v>0.61405459261566242</v>
      </c>
      <c r="E230" s="10">
        <f t="shared" si="335"/>
        <v>0.59466405623095708</v>
      </c>
      <c r="F230" s="10">
        <f t="shared" si="335"/>
        <v>0.60088635672195967</v>
      </c>
      <c r="G230" s="10">
        <f t="shared" si="335"/>
        <v>0.66999864077536753</v>
      </c>
      <c r="H230" s="10">
        <f t="shared" si="335"/>
        <v>0.82388677623474538</v>
      </c>
      <c r="I230" s="10">
        <f t="shared" si="335"/>
        <v>0.26539741733743932</v>
      </c>
      <c r="J230" s="10">
        <f t="shared" si="335"/>
        <v>0.23837633619026702</v>
      </c>
      <c r="K230" s="10">
        <f t="shared" si="335"/>
        <v>0.18377404279510001</v>
      </c>
      <c r="L230" s="10">
        <f t="shared" si="335"/>
        <v>0.19677409774101365</v>
      </c>
      <c r="M230" s="10">
        <f t="shared" si="335"/>
        <v>0.34458427320509344</v>
      </c>
      <c r="N230" s="10">
        <f t="shared" si="335"/>
        <v>0.62656585588179436</v>
      </c>
      <c r="O230" s="10">
        <f t="shared" si="335"/>
        <v>0.38324936959199735</v>
      </c>
      <c r="P230" s="10">
        <f t="shared" si="335"/>
        <v>0.37146520727222693</v>
      </c>
      <c r="Q230" s="10">
        <f t="shared" si="335"/>
        <v>0.36789930981203689</v>
      </c>
      <c r="R230" s="10">
        <f t="shared" si="335"/>
        <v>0.42083791982909508</v>
      </c>
      <c r="S230" s="10">
        <f t="shared" si="335"/>
        <v>0.54527937371964341</v>
      </c>
      <c r="T230" s="10">
        <f t="shared" si="335"/>
        <v>0.75629512589551118</v>
      </c>
    </row>
    <row r="231" spans="2:20">
      <c r="B231" s="10" t="s">
        <v>1067</v>
      </c>
      <c r="C231" s="10">
        <f t="shared" ref="C231:T231" si="336">IF(ISNA(C230),NA(),C228*COS(C230-2*PI()/3)-C223/3)</f>
        <v>1.4246258406802543</v>
      </c>
      <c r="D231" s="10">
        <f t="shared" si="336"/>
        <v>1.4871973471097637</v>
      </c>
      <c r="E231" s="10">
        <f t="shared" si="336"/>
        <v>1.6519967175934949</v>
      </c>
      <c r="F231" s="10">
        <f t="shared" si="336"/>
        <v>1.8709559606536885</v>
      </c>
      <c r="G231" s="10">
        <f t="shared" si="336"/>
        <v>2.1295177084363357</v>
      </c>
      <c r="H231" s="10">
        <f t="shared" si="336"/>
        <v>2.4452374289208016</v>
      </c>
      <c r="I231" s="10">
        <f t="shared" si="336"/>
        <v>0.37131772979758171</v>
      </c>
      <c r="J231" s="10">
        <f t="shared" si="336"/>
        <v>0.38965460767961668</v>
      </c>
      <c r="K231" s="10">
        <f t="shared" si="336"/>
        <v>0.4853415589303911</v>
      </c>
      <c r="L231" s="10">
        <f t="shared" si="336"/>
        <v>0.817009865701815</v>
      </c>
      <c r="M231" s="10">
        <f t="shared" si="336"/>
        <v>1.4046199010853111</v>
      </c>
      <c r="N231" s="10">
        <f t="shared" si="336"/>
        <v>2.0872489622983919</v>
      </c>
      <c r="O231" s="10">
        <f t="shared" si="336"/>
        <v>0.90271765159827</v>
      </c>
      <c r="P231" s="10">
        <f t="shared" si="336"/>
        <v>0.96350052945379649</v>
      </c>
      <c r="Q231" s="10">
        <f t="shared" si="336"/>
        <v>1.162186280867916</v>
      </c>
      <c r="R231" s="10">
        <f t="shared" si="336"/>
        <v>1.4889331975152178</v>
      </c>
      <c r="S231" s="10">
        <f t="shared" si="336"/>
        <v>1.8843290418573722</v>
      </c>
      <c r="T231" s="10">
        <f t="shared" si="336"/>
        <v>2.327718780745859</v>
      </c>
    </row>
    <row r="232" spans="2:20">
      <c r="B232" s="10" t="s">
        <v>1180</v>
      </c>
      <c r="C232" s="10">
        <f t="shared" ref="C232:T232" si="337">IF(OR(ISNA(C231),C231&lt;=0),NA(),1/SQRT(C231))</f>
        <v>0.83781781585497994</v>
      </c>
      <c r="D232" s="10">
        <f t="shared" si="337"/>
        <v>0.8200034865816288</v>
      </c>
      <c r="E232" s="10">
        <f t="shared" si="337"/>
        <v>0.77802832805570654</v>
      </c>
      <c r="F232" s="10">
        <f t="shared" si="337"/>
        <v>0.73108557927378526</v>
      </c>
      <c r="G232" s="10">
        <f t="shared" si="337"/>
        <v>0.68526629594584676</v>
      </c>
      <c r="H232" s="10">
        <f t="shared" si="337"/>
        <v>0.63949842995628348</v>
      </c>
      <c r="I232" s="10">
        <f t="shared" si="337"/>
        <v>1.6410701904546237</v>
      </c>
      <c r="J232" s="10">
        <f t="shared" si="337"/>
        <v>1.6019910739169161</v>
      </c>
      <c r="K232" s="10">
        <f t="shared" si="337"/>
        <v>1.4354109655390246</v>
      </c>
      <c r="L232" s="10">
        <f t="shared" si="337"/>
        <v>1.1063342297586281</v>
      </c>
      <c r="M232" s="10">
        <f t="shared" si="337"/>
        <v>0.84376322185218966</v>
      </c>
      <c r="N232" s="10">
        <f t="shared" si="337"/>
        <v>0.69217016081211913</v>
      </c>
      <c r="O232" s="10">
        <f t="shared" si="337"/>
        <v>1.0525046728452043</v>
      </c>
      <c r="P232" s="10">
        <f t="shared" si="337"/>
        <v>1.0187650116317908</v>
      </c>
      <c r="Q232" s="10">
        <f t="shared" si="337"/>
        <v>0.92760296417956012</v>
      </c>
      <c r="R232" s="10">
        <f t="shared" si="337"/>
        <v>0.81952535281028016</v>
      </c>
      <c r="S232" s="10">
        <f t="shared" si="337"/>
        <v>0.72848670321948039</v>
      </c>
      <c r="T232" s="10">
        <f t="shared" si="337"/>
        <v>0.65544272085945621</v>
      </c>
    </row>
    <row r="233" spans="2:20">
      <c r="B233" s="10" t="s">
        <v>1181</v>
      </c>
      <c r="C233" s="10">
        <f ca="1">IF(MAX(C60:CH60)&gt;0,MAX(C60:CH60),NA())</f>
        <v>0.83783993632038878</v>
      </c>
      <c r="D233" s="10">
        <f ca="1">IF(MAX(C61:CH61)&gt;0,MAX(C61:CH61),NA())</f>
        <v>0.82005314069320001</v>
      </c>
      <c r="E233" s="10">
        <f ca="1">IF(MAX(C62:CH62)&gt;0,MAX(C62:CH62),NA())</f>
        <v>0.77811269262423088</v>
      </c>
      <c r="F233" s="10">
        <f ca="1">IF(MAX(C63:CH63)&gt;0,MAX(C63:CH63),NA())</f>
        <v>0.73129033023564005</v>
      </c>
      <c r="G233" s="10">
        <f ca="1">IF(MAX(C64:CH64)&gt;0,MAX(C64:CH64),NA())</f>
        <v>0.68561941850993013</v>
      </c>
      <c r="H233" s="10">
        <f ca="1">IF(MAX(C65:CH65)&gt;0,MAX(C65:CH65),NA())</f>
        <v>0.63998271404280338</v>
      </c>
      <c r="I233" s="10">
        <f ca="1">IF(MAX(C74:CH74)&gt;0,MAX(C74:CH74),NA())</f>
        <v>1.6419017063536328</v>
      </c>
      <c r="J233" s="10">
        <f ca="1">IF(MAX(C75:CH75)&gt;0,MAX(C75:CH75),NA())</f>
        <v>1.6033068347344261</v>
      </c>
      <c r="K233" s="10">
        <f ca="1">IF(MAX(C76:CH76)&gt;0,MAX(C76:CH76),NA())</f>
        <v>1.4372263074322824</v>
      </c>
      <c r="L233" s="10">
        <f ca="1">IF(MAX(C77:CH77)&gt;0,MAX(C77:CH77),NA())</f>
        <v>1.1081910694642076</v>
      </c>
      <c r="M233" s="10">
        <f ca="1">IF(MAX(C78:CH78)&gt;0,MAX(C78:CH78),NA())</f>
        <v>0.84390579723953529</v>
      </c>
      <c r="N233" s="10">
        <f ca="1">IF(MAX(C79:CH79)&gt;0,MAX(C79:CH79),NA())</f>
        <v>0.69256184229616835</v>
      </c>
      <c r="O233" s="10">
        <f ca="1">IF(MAX(C88:CH88)&gt;0,MAX(C88:CH88),NA())</f>
        <v>1.0556783492391313</v>
      </c>
      <c r="P233" s="10">
        <f ca="1">IF(MAX(C89:CH89)&gt;0,MAX(C89:CH89),NA())</f>
        <v>1.0210808078605624</v>
      </c>
      <c r="Q233" s="10">
        <f ca="1">IF(MAX(C90:CH90)&gt;0,MAX(C90:CH90),NA())</f>
        <v>0.9276051593834459</v>
      </c>
      <c r="R233" s="10">
        <f ca="1">IF(MAX(C91:CH91)&gt;0,MAX(C91:CH91),NA())</f>
        <v>0.81971379727682758</v>
      </c>
      <c r="S233" s="10">
        <f ca="1">IF(MAX(C92:CH92)&gt;0,MAX(C92:CH92),NA())</f>
        <v>0.72875747909935029</v>
      </c>
      <c r="T233" s="10">
        <f ca="1">IF(MAX(C93:CH93)&gt;0,MAX(C93:CH93),NA())</f>
        <v>0.65603015616883709</v>
      </c>
    </row>
    <row r="234" spans="2:20">
      <c r="B234" s="10" t="s">
        <v>1182</v>
      </c>
      <c r="C234" s="10">
        <f t="shared" ref="C234:T234" ca="1" si="338">IF(OR(ISNA(C232),ISNA(C233)),NA(),(C232/C233-1)*100)</f>
        <v>-2.6401779683604687E-3</v>
      </c>
      <c r="D234" s="10">
        <f t="shared" ca="1" si="338"/>
        <v>-6.0549870620874024E-3</v>
      </c>
      <c r="E234" s="10">
        <f t="shared" ca="1" si="338"/>
        <v>-1.0842204390704158E-2</v>
      </c>
      <c r="F234" s="10">
        <f t="shared" ca="1" si="338"/>
        <v>-2.7998587344757464E-2</v>
      </c>
      <c r="G234" s="10">
        <f t="shared" ca="1" si="338"/>
        <v>-5.1504166094185067E-2</v>
      </c>
      <c r="H234" s="10">
        <f t="shared" ca="1" si="338"/>
        <v>-7.5671432351764878E-2</v>
      </c>
      <c r="I234" s="10">
        <f t="shared" ca="1" si="338"/>
        <v>-5.0643463965682756E-2</v>
      </c>
      <c r="J234" s="10">
        <f t="shared" ca="1" si="338"/>
        <v>-8.2065440563539038E-2</v>
      </c>
      <c r="K234" s="10">
        <f t="shared" ca="1" si="338"/>
        <v>-0.12630870196782551</v>
      </c>
      <c r="L234" s="10">
        <f t="shared" ca="1" si="338"/>
        <v>-0.16755591673169867</v>
      </c>
      <c r="M234" s="10">
        <f t="shared" ca="1" si="338"/>
        <v>-1.6894704102288216E-2</v>
      </c>
      <c r="N234" s="10">
        <f t="shared" ca="1" si="338"/>
        <v>-5.6555452542783602E-2</v>
      </c>
      <c r="O234" s="10">
        <f t="shared" ca="1" si="338"/>
        <v>-0.30062910698266387</v>
      </c>
      <c r="P234" s="10">
        <f t="shared" ca="1" si="338"/>
        <v>-0.22679852671247946</v>
      </c>
      <c r="Q234" s="10">
        <f t="shared" ca="1" si="338"/>
        <v>-2.3665283268581305E-4</v>
      </c>
      <c r="R234" s="10">
        <f t="shared" ca="1" si="338"/>
        <v>-2.2989056323496904E-2</v>
      </c>
      <c r="S234" s="10">
        <f t="shared" ca="1" si="338"/>
        <v>-3.715582860357447E-2</v>
      </c>
      <c r="T234" s="10">
        <f t="shared" ca="1" si="338"/>
        <v>-8.9543949139692103E-2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57"/>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6.0240999999999998</v>
      </c>
      <c r="D9" s="10">
        <f>IF('Res. Tank Design'!$F$9,'Res. Tank Design'!$F$9,'Res. Tank Design'!$D$9)</f>
        <v>6.0240999999999998</v>
      </c>
      <c r="E9" s="10">
        <f>IF('Res. Tank Design'!$F$9,'Res. Tank Design'!$F$9,'Res. Tank Design'!$D$9)</f>
        <v>6.0240999999999998</v>
      </c>
      <c r="F9" s="10">
        <f>IF('Res. Tank Design'!$F$9,'Res. Tank Design'!$F$9,'Res. Tank Design'!$D$9)</f>
        <v>6.0240999999999998</v>
      </c>
      <c r="G9" s="10">
        <f>IF('Res. Tank Design'!$F$9,'Res. Tank Design'!$F$9,'Res. Tank Design'!$D$9)</f>
        <v>6.0240999999999998</v>
      </c>
      <c r="H9" s="10">
        <f>IF('Res. Tank Design'!$F$9,'Res. Tank Design'!$F$9,'Res. Tank Design'!$D$9)</f>
        <v>6.0240999999999998</v>
      </c>
      <c r="I9" s="10">
        <f>IF('Res. Tank Design'!$F$9,'Res. Tank Design'!$F$9,'Res. Tank Design'!$D$9)</f>
        <v>6.0240999999999998</v>
      </c>
      <c r="J9" s="10">
        <f>IF('Res. Tank Design'!$F$9,'Res. Tank Design'!$F$9,'Res. Tank Design'!$D$9)</f>
        <v>6.0240999999999998</v>
      </c>
      <c r="K9" s="10">
        <f>IF('Res. Tank Design'!$F$9,'Res. Tank Design'!$F$9,'Res. Tank Design'!$D$9)</f>
        <v>6.0240999999999998</v>
      </c>
      <c r="L9" s="10">
        <f>IF('Res. Tank Design'!$F$9,'Res. Tank Design'!$F$9,'Res. Tank Design'!$D$9)</f>
        <v>6.0240999999999998</v>
      </c>
      <c r="M9" s="10">
        <f>IF('Res. Tank Design'!$F$9,'Res. Tank Design'!$F$9,'Res. Tank Design'!$D$9)</f>
        <v>6.0240999999999998</v>
      </c>
      <c r="N9" s="10">
        <f>IF('Res. Tank Design'!$F$9,'Res. Tank Design'!$F$9,'Res. Tank Design'!$D$9)</f>
        <v>6.0240999999999998</v>
      </c>
      <c r="O9" s="10">
        <f>IF('Res. Tank Design'!$F$9,'Res. Tank Design'!$F$9,'Res. Tank Design'!$D$9)</f>
        <v>6.0240999999999998</v>
      </c>
      <c r="P9" s="10">
        <f>IF('Res. Tank Design'!$F$9,'Res. Tank Design'!$F$9,'Res. Tank Design'!$D$9)</f>
        <v>6.0240999999999998</v>
      </c>
      <c r="Q9" s="10">
        <f>IF('Res. Tank Design'!$F$9,'Res. Tank Design'!$F$9,'Res. Tank Design'!$D$9)</f>
        <v>6.0240999999999998</v>
      </c>
      <c r="R9" s="10">
        <f>IF('Res. Tank Design'!$F$9,'Res. Tank Design'!$F$9,'Res. Tank Design'!$D$9)</f>
        <v>6.0240999999999998</v>
      </c>
      <c r="S9" s="10">
        <f>IF('Res. Tank Design'!$F$9,'Res. Tank Design'!$F$9,'Res. Tank Design'!$D$9)</f>
        <v>6.0240999999999998</v>
      </c>
      <c r="T9" s="10">
        <f>IF('Res. Tank Design'!$F$9,'Res. Tank Design'!$F$9,'Res. Tank Design'!$D$9)</f>
        <v>6.0240999999999998</v>
      </c>
      <c r="U9" s="10">
        <f>IF('Res. Tank Design'!$F$9,'Res. Tank Design'!$F$9,'Res. Tank Design'!$D$9)</f>
        <v>6.0240999999999998</v>
      </c>
      <c r="V9" s="10">
        <f>IF('Res. Tank Design'!$F$9,'Res. Tank Design'!$F$9,'Res. Tank Design'!$D$9)</f>
        <v>6.0240999999999998</v>
      </c>
      <c r="W9" s="10">
        <f>IF('Res. Tank Design'!$F$9,'Res. Tank Design'!$F$9,'Res. Tank Design'!$D$9)</f>
        <v>6.0240999999999998</v>
      </c>
      <c r="X9" s="10">
        <f>IF('Res. Tank Design'!$F$9,'Res. Tank Design'!$F$9,'Res. Tank Design'!$D$9)</f>
        <v>6.0240999999999998</v>
      </c>
      <c r="Y9" s="10">
        <f>IF('Res. Tank Design'!$F$9,'Res. Tank Design'!$F$9,'Res. Tank Design'!$D$9)</f>
        <v>6.0240999999999998</v>
      </c>
      <c r="Z9" s="10">
        <f>IF('Res. Tank Design'!$F$9,'Res. Tank Design'!$F$9,'Res. Tank Design'!$D$9)</f>
        <v>6.0240999999999998</v>
      </c>
      <c r="AA9" s="10">
        <f>IF('Res. Tank Design'!$F$9,'Res. Tank Design'!$F$9,'Res. Tank Design'!$D$9)</f>
        <v>6.0240999999999998</v>
      </c>
      <c r="AB9" s="10">
        <f>IF('Res. Tank Design'!$F$9,'Res. Tank Design'!$F$9,'Res. Tank Design'!$D$9)</f>
        <v>6.0240999999999998</v>
      </c>
      <c r="AC9" s="10">
        <f>IF('Res. Tank Design'!$F$9,'Res. Tank Design'!$F$9,'Res. Tank Design'!$D$9)</f>
        <v>6.0240999999999998</v>
      </c>
      <c r="AD9" s="10">
        <f>IF('Res. Tank Design'!$F$9,'Res. Tank Design'!$F$9,'Res. Tank Design'!$D$9)</f>
        <v>6.0240999999999998</v>
      </c>
      <c r="AE9" s="10">
        <f>IF('Res. Tank Design'!$F$9,'Res. Tank Design'!$F$9,'Res. Tank Design'!$D$9)</f>
        <v>6.0240999999999998</v>
      </c>
      <c r="AF9" s="10">
        <f>IF('Res. Tank Design'!$F$9,'Res. Tank Design'!$F$9,'Res. Tank Design'!$D$9)</f>
        <v>6.0240999999999998</v>
      </c>
      <c r="AG9" s="10">
        <f>IF('Res. Tank Design'!$F$9,'Res. Tank Design'!$F$9,'Res. Tank Design'!$D$9)</f>
        <v>6.0240999999999998</v>
      </c>
      <c r="AH9" s="10">
        <f>IF('Res. Tank Design'!$F$9,'Res. Tank Design'!$F$9,'Res. Tank Design'!$D$9)</f>
        <v>6.0240999999999998</v>
      </c>
      <c r="AI9" s="10">
        <f>IF('Res. Tank Design'!$F$9,'Res. Tank Design'!$F$9,'Res. Tank Design'!$D$9)</f>
        <v>6.0240999999999998</v>
      </c>
      <c r="AJ9" s="10">
        <f>IF('Res. Tank Design'!$F$9,'Res. Tank Design'!$F$9,'Res. Tank Design'!$D$9)</f>
        <v>6.0240999999999998</v>
      </c>
      <c r="AK9" s="10">
        <f>IF('Res. Tank Design'!$F$9,'Res. Tank Design'!$F$9,'Res. Tank Design'!$D$9)</f>
        <v>6.0240999999999998</v>
      </c>
      <c r="AL9" s="10">
        <f>IF('Res. Tank Design'!$F$9,'Res. Tank Design'!$F$9,'Res. Tank Design'!$D$9)</f>
        <v>6.0240999999999998</v>
      </c>
      <c r="AM9" s="10">
        <f>IF('Res. Tank Design'!$F$9,'Res. Tank Design'!$F$9,'Res. Tank Design'!$D$9)</f>
        <v>6.0240999999999998</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6.0240999999999998</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110.94098220817816</v>
      </c>
      <c r="D21" s="87">
        <f>RTC!BC151</f>
        <v>118.06446378825703</v>
      </c>
      <c r="E21" s="87">
        <f>RTC!BC149</f>
        <v>127.13741597090601</v>
      </c>
      <c r="F21" s="87">
        <f>RTC!BC150</f>
        <v>124.43412207071904</v>
      </c>
      <c r="G21" s="87">
        <f>RTC!BC153</f>
        <v>103.98798458302234</v>
      </c>
      <c r="H21" s="87">
        <f>RTC!BC154</f>
        <v>97.042789450739562</v>
      </c>
    </row>
    <row r="22" spans="2:39" ht="16.5" customHeight="1">
      <c r="B22" s="10" t="s">
        <v>898</v>
      </c>
      <c r="C22" s="87">
        <f>'Res. Tank Design'!$D$55</f>
        <v>151.7482841316334</v>
      </c>
      <c r="D22" s="87">
        <f>'Res. Tank Design'!$D$55</f>
        <v>151.7482841316334</v>
      </c>
      <c r="E22" s="87">
        <f>'Res. Tank Design'!$D$55</f>
        <v>151.7482841316334</v>
      </c>
      <c r="F22" s="87">
        <f>'Res. Tank Design'!$D$55</f>
        <v>151.7482841316334</v>
      </c>
      <c r="G22" s="87">
        <f>'Res. Tank Design'!$D$55</f>
        <v>151.7482841316334</v>
      </c>
      <c r="H22" s="87">
        <f>'Res. Tank Design'!$D$55</f>
        <v>151.7482841316334</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56.507671011295926</v>
      </c>
      <c r="D24" s="10">
        <f t="shared" si="6"/>
        <v>79.647376396842176</v>
      </c>
      <c r="E24" s="10">
        <f t="shared" si="6"/>
        <v>98.617963506893403</v>
      </c>
      <c r="F24" s="10">
        <f t="shared" si="6"/>
        <v>94.010741558660129</v>
      </c>
      <c r="G24" s="10">
        <f t="shared" si="6"/>
        <v>30.14298502575884</v>
      </c>
      <c r="H24" s="10">
        <f t="shared" si="6"/>
        <v>8.6548311550416024</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24.158030270415846</v>
      </c>
      <c r="D25" s="10">
        <f>IF('Design Spec'!$D$107=1,D24*SQRT(MIN(D21,D22)/D22/4*(1-SIN(2*PI()*D22/MAX(D21,D22))/(2*PI()*D22/MAX(D21,D22)))),D24*SQRT(MIN(D21,D22)/D22/2*(1-SIN(2*PI()*D22/MAX(D21,D22))/(2*PI()*D22/MAX(D21,D22)))))</f>
        <v>35.126848200004915</v>
      </c>
      <c r="E25" s="10">
        <f>IF('Design Spec'!$D$107=1,E24*SQRT(MIN(E21,E22)/E22/4*(1-SIN(2*PI()*E22/MAX(E21,E22))/(2*PI()*E22/MAX(E21,E22)))),E24*SQRT(MIN(E21,E22)/E22/2*(1-SIN(2*PI()*E22/MAX(E21,E22))/(2*PI()*E22/MAX(E21,E22)))))</f>
        <v>45.133688781762231</v>
      </c>
      <c r="F25" s="193">
        <f>IF('Design Spec'!$D$107=1,F24*SQRT(MIN(F21,F22)/F22/4*(1-SIN(2*PI()*F22/MAX(F21,F22))/(2*PI()*F22/MAX(F21,F22)))),F24*SQRT(MIN(F21,F22)/F22/2*(1-SIN(2*PI()*F22/MAX(F21,F22))/(2*PI()*F22/MAX(F21,F22)))))</f>
        <v>42.565264088726316</v>
      </c>
      <c r="G25" s="193">
        <f>IF('Design Spec'!$D$107=1,G24*SQRT(MIN(G21,G22)/G22/4*(1-SIN(2*PI()*G22/MAX(G21,G22))/(2*PI()*G22/MAX(G21,G22)))),G24*SQRT(MIN(G21,G22)/G22/2*(1-SIN(2*PI()*G22/MAX(G21,G22))/(2*PI()*G22/MAX(G21,G22)))))</f>
        <v>12.476303995633145</v>
      </c>
      <c r="H25" s="193">
        <f>IF('Design Spec'!$D$107=1,H24*SQRT(MIN(H21,H22)/H22/4*(1-SIN(2*PI()*H22/MAX(H21,H22))/(2*PI()*H22/MAX(H21,H22)))),H24*SQRT(MIN(H21,H22)/H22/2*(1-SIN(2*PI()*H22/MAX(H21,H22))/(2*PI()*H22/MAX(H21,H22)))))</f>
        <v>3.460575632363855</v>
      </c>
      <c r="J25" s="193">
        <f>SQRT((4*H25^2+2*G25^2+4*C25^2+2*D25^2+4*F25^2+1*E25^2)/18)</f>
        <v>28.329125161562832</v>
      </c>
      <c r="K25" s="87"/>
      <c r="L25" s="87"/>
      <c r="M25" s="87"/>
      <c r="N25" s="87"/>
      <c r="O25" s="87"/>
      <c r="P25" s="87"/>
      <c r="Q25" s="87"/>
    </row>
    <row r="26" spans="2:39" ht="16.5" customHeight="1">
      <c r="B26" s="10" t="s">
        <v>901</v>
      </c>
      <c r="C26" s="193">
        <f>IF('Design Spec'!$D$107=1,C25,C25/SQRT(2))</f>
        <v>24.158030270415846</v>
      </c>
      <c r="D26" s="10">
        <f>IF('Design Spec'!$D$107=1,D25,D25/SQRT(2))</f>
        <v>35.126848200004915</v>
      </c>
      <c r="E26" s="10">
        <f>IF('Design Spec'!$D$107=1,E25,E25/SQRT(2))</f>
        <v>45.133688781762231</v>
      </c>
      <c r="F26" s="193">
        <f>IF('Design Spec'!$D$107=1,F25,F25/SQRT(2))</f>
        <v>42.565264088726316</v>
      </c>
      <c r="G26" s="193">
        <f>IF('Design Spec'!$D$107=1,G25,G25/SQRT(2))</f>
        <v>12.476303995633145</v>
      </c>
      <c r="H26" s="193">
        <f>IF('Design Spec'!$D$107=1,H25,H25/SQRT(2))</f>
        <v>3.460575632363855</v>
      </c>
      <c r="J26" s="193">
        <f>SQRT((4*H26^2+2*G26^2+4*C26^2+2*D26^2+4*F26^2+1*E26^2)/18)</f>
        <v>28.329125161562832</v>
      </c>
    </row>
    <row r="27" spans="2:39" ht="16.5" customHeight="1">
      <c r="B27" s="10" t="s">
        <v>902</v>
      </c>
      <c r="C27" s="10">
        <f t="shared" ref="C27:H27" si="7">C24/$C$18</f>
        <v>9.380267759714469</v>
      </c>
      <c r="D27" s="10">
        <f t="shared" si="7"/>
        <v>13.221456549001873</v>
      </c>
      <c r="E27" s="10">
        <f t="shared" si="7"/>
        <v>16.370572119801032</v>
      </c>
      <c r="F27" s="10">
        <f t="shared" si="7"/>
        <v>15.60577373527334</v>
      </c>
      <c r="G27" s="10">
        <f t="shared" si="7"/>
        <v>5.0037325120364606</v>
      </c>
      <c r="H27" s="10">
        <f t="shared" si="7"/>
        <v>1.4367011097162403</v>
      </c>
    </row>
    <row r="28" spans="2:39" ht="16.5" customHeight="1">
      <c r="B28" s="10" t="s">
        <v>903</v>
      </c>
      <c r="C28" s="10">
        <f>0.5*(0.5*$C$17*$C$18)/(IF('Res. Tank Design'!$F$45,'Res. Tank Design'!$F$45,'Res. Tank Design'!$D$45)*IF(C21&lt;C22,C22,C21))*1000</f>
        <v>12.405618032339701</v>
      </c>
      <c r="D28" s="10">
        <f>0.5*(0.5*$C$17*$C$18)/(IF('Res. Tank Design'!$F$45,'Res. Tank Design'!$F$45,'Res. Tank Design'!$D$45)*IF(D21&lt;D22,D22,D21))*1000</f>
        <v>12.405618032339701</v>
      </c>
      <c r="E28" s="10">
        <f>0.5*(0.5*$C$17*$C$18)/(IF('Res. Tank Design'!$F$45,'Res. Tank Design'!$F$45,'Res. Tank Design'!$D$45)*IF(E21&lt;E22,E22,E21))*1000</f>
        <v>12.405618032339701</v>
      </c>
      <c r="F28" s="10">
        <f>0.5*(0.5*$C$17*$C$18)/(IF('Res. Tank Design'!$F$45,'Res. Tank Design'!$F$45,'Res. Tank Design'!$D$45)*IF(F21&lt;F22,F22,F21))*1000</f>
        <v>12.405618032339701</v>
      </c>
      <c r="G28" s="10">
        <f>0.5*(0.5*$C$17*$C$18)/(IF('Res. Tank Design'!$F$45,'Res. Tank Design'!$F$45,'Res. Tank Design'!$D$45)*IF(G21&lt;G22,G22,G21))*1000</f>
        <v>12.405618032339701</v>
      </c>
      <c r="H28" s="10">
        <f>0.5*(0.5*$C$17*$C$18)/(IF('Res. Tank Design'!$F$45,'Res. Tank Design'!$F$45,'Res. Tank Design'!$D$45)*IF(H21&lt;H22,H22,H21))*1000</f>
        <v>12.405618032339701</v>
      </c>
      <c r="I28" s="10">
        <f>0.5*(0.5*$C$17*$C$18)/(IF('Res. Tank Design'!$F$45,'Res. Tank Design'!$F$45,'Res. Tank Design'!$D$45)*C22)*1000</f>
        <v>12.405618032339701</v>
      </c>
    </row>
    <row r="29" spans="2:39" ht="16.5" customHeight="1">
      <c r="B29" s="10" t="s">
        <v>904</v>
      </c>
      <c r="C29" s="193">
        <f t="shared" ref="C29:H29" si="8">SQRT(C27^2/2+C28^2/3+(C28*C21*(1/C21-1/C22))^2)</f>
        <v>10.31618750910971</v>
      </c>
      <c r="D29" s="10">
        <f t="shared" si="8"/>
        <v>12.094878392149223</v>
      </c>
      <c r="E29" s="10">
        <f t="shared" si="8"/>
        <v>13.760291647292615</v>
      </c>
      <c r="F29" s="193">
        <f t="shared" si="8"/>
        <v>13.343763309093696</v>
      </c>
      <c r="G29" s="193">
        <f t="shared" si="8"/>
        <v>8.8917552496269341</v>
      </c>
      <c r="H29" s="193">
        <f t="shared" si="8"/>
        <v>8.5048700547767115</v>
      </c>
      <c r="I29" s="193">
        <f>SQRT(I28^2/3+(I28*(1-'Res. Tank Design'!$D$54))^2)</f>
        <v>8.7440270583812989</v>
      </c>
      <c r="J29" s="193">
        <f>SQRT((1*I29^2+4*H29^2+2*G29^2+4*C29^2+2*D29^2+4*F29^2+1*E29^2)/18)</f>
        <v>10.913174147128586</v>
      </c>
    </row>
    <row r="30" spans="2:39" ht="16.5" customHeight="1">
      <c r="B30" s="10" t="s">
        <v>905</v>
      </c>
      <c r="C30" s="193">
        <f t="shared" ref="C30:H30" si="9">C29/SQRT(2)</f>
        <v>7.2946461436834342</v>
      </c>
      <c r="D30" s="10">
        <f t="shared" si="9"/>
        <v>8.5523705287153611</v>
      </c>
      <c r="E30" s="10">
        <f t="shared" si="9"/>
        <v>9.7299955349052158</v>
      </c>
      <c r="F30" s="193">
        <f t="shared" si="9"/>
        <v>9.4354655224083963</v>
      </c>
      <c r="G30" s="193">
        <f t="shared" si="9"/>
        <v>6.2874204336622874</v>
      </c>
      <c r="H30" s="193">
        <f t="shared" si="9"/>
        <v>6.013851288843016</v>
      </c>
      <c r="J30" s="193">
        <f>J29/SQRT(2)</f>
        <v>7.7167794437043398</v>
      </c>
    </row>
    <row r="31" spans="2:39" ht="16.5" customHeight="1">
      <c r="B31" s="10" t="s">
        <v>906</v>
      </c>
      <c r="C31" s="193">
        <f t="shared" ref="C31:H31" si="10">SQRT(0.5*MIN(C21,C22)/C22*(1-SIN(2*PI()*C22/MAX(C21,C22))/(2*PI()*C22/MAX(C21,C22)))*(C24^2)-C23^2+C15^2/2)</f>
        <v>21.806669922128343</v>
      </c>
      <c r="D31" s="10">
        <f t="shared" si="10"/>
        <v>30.193266568017091</v>
      </c>
      <c r="E31" s="10">
        <f t="shared" si="10"/>
        <v>36.188550391556277</v>
      </c>
      <c r="F31" s="193">
        <f t="shared" si="10"/>
        <v>35.017341685729193</v>
      </c>
      <c r="G31" s="193">
        <f t="shared" si="10"/>
        <v>13.109211022366269</v>
      </c>
      <c r="H31" s="193">
        <f t="shared" si="10"/>
        <v>9.3952230695261321</v>
      </c>
      <c r="J31" s="193">
        <f>SQRT((4*H32+2*G32+4*C32+2*D32+4*F32+1*E32)/18-('Design Spec'!$D$98/'Design Spec'!$D$95)^2)</f>
        <v>30.222320639537003</v>
      </c>
    </row>
    <row r="32" spans="2:39">
      <c r="B32" s="10" t="s">
        <v>1184</v>
      </c>
      <c r="C32" s="193">
        <f t="shared" ref="C32:H32" si="11">0.5*MIN(C21,C22)/C22*(1-SIN(2*PI()*C22/MAX(C21,C22))/(2*PI()*C22/MAX(C21,C22)))*(C24^2)</f>
        <v>1167.2208530926566</v>
      </c>
      <c r="D32" s="193">
        <f t="shared" si="11"/>
        <v>2467.7909289323766</v>
      </c>
      <c r="E32" s="193">
        <f t="shared" si="11"/>
        <v>4074.0997260979402</v>
      </c>
      <c r="F32" s="193">
        <f t="shared" si="11"/>
        <v>3623.6034138860277</v>
      </c>
      <c r="G32" s="193">
        <f t="shared" si="11"/>
        <v>311.31632278290317</v>
      </c>
      <c r="H32" s="193">
        <f t="shared" si="11"/>
        <v>23.951167414620993</v>
      </c>
    </row>
    <row r="33" spans="2:5" ht="16.5" customHeight="1">
      <c r="B33" s="10" t="s">
        <v>907</v>
      </c>
      <c r="C33" s="10" t="s">
        <v>889</v>
      </c>
      <c r="D33" s="10" t="s">
        <v>890</v>
      </c>
      <c r="E33" s="10" t="s">
        <v>891</v>
      </c>
    </row>
    <row r="34" spans="2:5" ht="16.5" customHeight="1">
      <c r="B34" s="10" t="s">
        <v>897</v>
      </c>
      <c r="C34" s="87">
        <f>RTC!BC200</f>
        <v>167.88432104196409</v>
      </c>
      <c r="D34" s="10">
        <f>RTC!BC199</f>
        <v>217.82115104427814</v>
      </c>
      <c r="E34" s="10">
        <f>RTC!BC197</f>
        <v>249.02958554106198</v>
      </c>
    </row>
    <row r="35" spans="2:5" ht="16.5" customHeight="1">
      <c r="B35" s="10" t="s">
        <v>898</v>
      </c>
      <c r="C35" s="87">
        <f>'Res. Tank Design'!$D$55</f>
        <v>151.7482841316334</v>
      </c>
      <c r="D35" s="87">
        <f>'Res. Tank Design'!$D$55</f>
        <v>151.7482841316334</v>
      </c>
      <c r="E35" s="87">
        <f>'Res. Tank Design'!$D$55</f>
        <v>151.7482841316334</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38.205532232521897</v>
      </c>
      <c r="D37" s="10">
        <f>PI()*(D35/D34)*D36*(1-COS(PI()*D35/IF(D34&lt;D35,D35,D34)))^(-1)</f>
        <v>54.671705382482124</v>
      </c>
      <c r="E37" s="10">
        <f>PI()*(E35/E34)*E36*(1-COS(PI()*E35/IF(E34&lt;E35,E35,E34)))^(-1)</f>
        <v>75.323194272297783</v>
      </c>
    </row>
    <row r="38" spans="2:5" ht="16.5" customHeight="1">
      <c r="B38" s="10" t="s">
        <v>900</v>
      </c>
      <c r="C38" s="193">
        <f>IF('Design Spec'!$D$107=1,C37/2,C37/SQRT(2))</f>
        <v>19.102766116260948</v>
      </c>
      <c r="D38" s="10">
        <f>IF('Design Spec'!$D$107=1,D37/2,D37/SQRT(2))</f>
        <v>27.335852691241062</v>
      </c>
      <c r="E38" s="10">
        <f>IF('Design Spec'!$D$107=1,E37/2,E37/SQRT(2))</f>
        <v>37.661597136148892</v>
      </c>
    </row>
    <row r="39" spans="2:5" ht="16.5" customHeight="1">
      <c r="B39" s="10" t="s">
        <v>901</v>
      </c>
      <c r="C39" s="193">
        <f>IF('Design Spec'!$D$107=1,C38,C38/SQRT(2))</f>
        <v>19.102766116260948</v>
      </c>
      <c r="D39" s="10">
        <f>IF('Design Spec'!$D$107=1,D38,D38/SQRT(2))</f>
        <v>27.335852691241062</v>
      </c>
      <c r="E39" s="10">
        <f>IF('Design Spec'!$D$107=1,E38,E38/SQRT(2))</f>
        <v>37.661597136148892</v>
      </c>
    </row>
    <row r="40" spans="2:5" ht="16.5" customHeight="1">
      <c r="B40" s="10" t="s">
        <v>902</v>
      </c>
      <c r="C40" s="10">
        <f>C37/$C$18</f>
        <v>6.3421145453299079</v>
      </c>
      <c r="D40" s="10">
        <f>D37/$C$18</f>
        <v>9.0754976481934442</v>
      </c>
      <c r="E40" s="10">
        <f>E37/$C$18</f>
        <v>12.503642747015784</v>
      </c>
    </row>
    <row r="41" spans="2:5" ht="16.5" customHeight="1">
      <c r="B41" s="10" t="s">
        <v>903</v>
      </c>
      <c r="C41" s="10">
        <f>0.5*(0.5*$C$17*$C$18)/(IF('Res. Tank Design'!$F$45,'Res. Tank Design'!$F$45,'Res. Tank Design'!$D$45)*IF(C34&lt;C35,C35,C34))*1000</f>
        <v>11.213264218577299</v>
      </c>
      <c r="D41" s="10">
        <f>0.5*(0.5*$C$17*$C$18)/(IF('Res. Tank Design'!$F$45,'Res. Tank Design'!$F$45,'Res. Tank Design'!$D$45)*IF(D34&lt;D35,D35,D34))*1000</f>
        <v>8.6425548711627354</v>
      </c>
      <c r="E41" s="10">
        <f>0.5*(0.5*$C$17*$C$18)/(IF('Res. Tank Design'!$F$45,'Res. Tank Design'!$F$45,'Res. Tank Design'!$D$45)*IF(E34&lt;E35,E35,E34))*1000</f>
        <v>7.5594682692414201</v>
      </c>
    </row>
    <row r="42" spans="2:5" ht="16.5" customHeight="1">
      <c r="B42" s="10" t="s">
        <v>904</v>
      </c>
      <c r="C42" s="193">
        <f>SQRT(C40^2/2+C41^2/3+(C41*C34*(1/C34-1/C35))^2)</f>
        <v>7.9652587873074365</v>
      </c>
      <c r="D42" s="10">
        <f>SQRT(D40^2/2+D41^2/3+(D41*D34*(1/D34-1/D35))^2)</f>
        <v>8.9577280250003017</v>
      </c>
      <c r="E42" s="10">
        <f>SQRT(E40^2/2+E41^2/3+(E41*E34*(1/E34-1/E35))^2)</f>
        <v>10.986547622893207</v>
      </c>
    </row>
    <row r="43" spans="2:5" ht="16.5" customHeight="1">
      <c r="B43" s="10" t="s">
        <v>905</v>
      </c>
      <c r="C43" s="193">
        <f>C42/SQRT(2)</f>
        <v>5.632288502410824</v>
      </c>
      <c r="D43" s="10">
        <f>D42/SQRT(2)</f>
        <v>6.3340702305024923</v>
      </c>
      <c r="E43" s="10">
        <f>E42/SQRT(2)</f>
        <v>7.76866232597673</v>
      </c>
    </row>
    <row r="44" spans="2:5" ht="16.5" customHeight="1">
      <c r="B44" s="10" t="s">
        <v>906</v>
      </c>
      <c r="C44" s="193">
        <f>SQRT(0.5*IF(C34&gt;C35,C35,C34)/C35*(C37^2)-C36^2)</f>
        <v>6.1758680835276207</v>
      </c>
    </row>
    <row r="46" spans="2:5" ht="16.5" customHeight="1">
      <c r="B46" s="10" t="s">
        <v>908</v>
      </c>
      <c r="C46" s="10" t="s">
        <v>889</v>
      </c>
      <c r="D46" s="10" t="s">
        <v>890</v>
      </c>
      <c r="E46" s="10" t="s">
        <v>891</v>
      </c>
    </row>
    <row r="47" spans="2:5" ht="16.5" customHeight="1">
      <c r="B47" s="10" t="s">
        <v>897</v>
      </c>
      <c r="C47" s="87">
        <f>RTC!BC176</f>
        <v>124.3615660913315</v>
      </c>
      <c r="D47" s="10">
        <f>RTC!BC175</f>
        <v>140.76215816966524</v>
      </c>
      <c r="E47" s="10">
        <f>RTC!BC173</f>
        <v>159.71577814478593</v>
      </c>
    </row>
    <row r="48" spans="2:5" ht="16.5" customHeight="1">
      <c r="B48" s="10" t="s">
        <v>898</v>
      </c>
      <c r="C48" s="87">
        <f>'Res. Tank Design'!$D$55</f>
        <v>151.7482841316334</v>
      </c>
      <c r="D48" s="87">
        <f>'Res. Tank Design'!$D$55</f>
        <v>151.7482841316334</v>
      </c>
      <c r="E48" s="87">
        <f>'Res. Tank Design'!$D$55</f>
        <v>151.7482841316334</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50.409597766610482</v>
      </c>
      <c r="D50" s="10">
        <f>PI()*(D48/D47)*D49*(1-COS(PI()*D48/IF(D47&lt;D48,D48,D47)))^(-1)</f>
        <v>66.80435216899896</v>
      </c>
      <c r="E50" s="10">
        <f>PI()*(E48/E47)*E49*(1-COS(PI()*E48/IF(E47&lt;E48,E48,E47)))^(-1)</f>
        <v>78.986161381375254</v>
      </c>
    </row>
    <row r="51" spans="2:5" ht="16.5" customHeight="1">
      <c r="B51" s="10" t="s">
        <v>900</v>
      </c>
      <c r="C51" s="193">
        <f>IF('Design Spec'!$D$107=1,C50/2,C50/SQRT(2))</f>
        <v>25.204798883305241</v>
      </c>
      <c r="D51" s="10">
        <f>IF('Design Spec'!$D$107=1,D50/2,D50/SQRT(2))</f>
        <v>33.40217608449948</v>
      </c>
      <c r="E51" s="10">
        <f>IF('Design Spec'!$D$107=1,E50/2,E50/SQRT(2))</f>
        <v>39.493080690687627</v>
      </c>
    </row>
    <row r="52" spans="2:5" ht="16.5" customHeight="1">
      <c r="B52" s="10" t="s">
        <v>901</v>
      </c>
      <c r="C52" s="193">
        <f>IF('Design Spec'!$D$107=1,C51,C51/SQRT(2))</f>
        <v>25.204798883305241</v>
      </c>
      <c r="D52" s="10">
        <f>IF('Design Spec'!$D$107=1,D51,D51/SQRT(2))</f>
        <v>33.40217608449948</v>
      </c>
      <c r="E52" s="10">
        <f>IF('Design Spec'!$D$107=1,E51,E51/SQRT(2))</f>
        <v>39.493080690687627</v>
      </c>
    </row>
    <row r="53" spans="2:5" ht="16.5" customHeight="1">
      <c r="B53" s="10" t="s">
        <v>902</v>
      </c>
      <c r="C53" s="10">
        <f>C50/$C$18</f>
        <v>8.3679882084644159</v>
      </c>
      <c r="D53" s="10">
        <f>D50/$C$18</f>
        <v>11.089515806344345</v>
      </c>
      <c r="E53" s="10">
        <f>E50/$C$18</f>
        <v>13.11169492229134</v>
      </c>
    </row>
    <row r="54" spans="2:5" ht="16.5" customHeight="1">
      <c r="B54" s="10" t="s">
        <v>903</v>
      </c>
      <c r="C54" s="10">
        <f>0.5*(0.5*$C$17*$C$18)/(IF('Res. Tank Design'!$F$45,'Res. Tank Design'!$F$45,'Res. Tank Design'!$D$45)*IF(C47&lt;C48,C48,C47))*1000</f>
        <v>12.405618032339701</v>
      </c>
      <c r="D54" s="10">
        <f>0.5*(0.5*$C$17*$C$18)/(IF('Res. Tank Design'!$F$45,'Res. Tank Design'!$F$45,'Res. Tank Design'!$D$45)*IF(D47&lt;D48,D48,D47))*1000</f>
        <v>12.405618032339701</v>
      </c>
      <c r="E54" s="10">
        <f>0.5*(0.5*$C$17*$C$18)/(IF('Res. Tank Design'!$F$45,'Res. Tank Design'!$F$45,'Res. Tank Design'!$D$45)*IF(E47&lt;E48,E48,E47))*1000</f>
        <v>11.786758151680189</v>
      </c>
    </row>
    <row r="55" spans="2:5" ht="16.5" customHeight="1">
      <c r="B55" s="10" t="s">
        <v>904</v>
      </c>
      <c r="C55" s="193">
        <f>SQRT(C53^2/2+C54^2/3+(C54*C47*(1/C47-1/C48))^2)</f>
        <v>9.5563628396238212</v>
      </c>
      <c r="D55" s="10">
        <f>SQRT(D53^2/2+D54^2/3+(D54*D47*(1/D47-1/D48))^2)</f>
        <v>10.658100398892079</v>
      </c>
      <c r="E55" s="10">
        <f>SQRT(E53^2/2+E54^2/3+(E54*E47*(1/E47-1/E48))^2)</f>
        <v>11.51739909853392</v>
      </c>
    </row>
    <row r="56" spans="2:5" ht="16.5" customHeight="1">
      <c r="B56" s="10" t="s">
        <v>905</v>
      </c>
      <c r="C56" s="193">
        <f>C55/SQRT(2)</f>
        <v>6.7573689673771344</v>
      </c>
      <c r="D56" s="10">
        <f>D55/SQRT(2)</f>
        <v>7.5364150666236362</v>
      </c>
      <c r="E56" s="10">
        <f>E55/SQRT(2)</f>
        <v>8.1440310042051642</v>
      </c>
    </row>
    <row r="57" spans="2:5" ht="16.5" customHeight="1">
      <c r="B57" s="10" t="s">
        <v>906</v>
      </c>
      <c r="C57" s="193">
        <f>SQRT(0.5*IF(C47&gt;C48,C48,C47)/C48*(C50^2)-C49^2)</f>
        <v>18.696770436148842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2026-09-07T09:01:23Z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