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<sst xmlns="http://schemas.openxmlformats.org/spreadsheetml/2006/main" count="2127" uniqueCount="1232">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</sst>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6.0240999999999998</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11</v>
      </c>
    </row>
    <row r="45" spans="2:6" ht="14.25" customHeight="1">
      <c r="B45" s="1" t="s">
        <v>321</v>
      </c>
      <c r="C45" s="1" t="s">
        <v>322</v>
      </c>
      <c r="D45" s="3">
        <f>IF(F44,F44,D44)/D16</f>
        <v>8.8661373823173655</v>
      </c>
      <c r="E45" s="1" t="s">
        <v>320</v>
      </c>
      <c r="F45" s="2">
        <v>20</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25"/>
      <c r="C84" s="1" t="s">
        <v>1020</v>
      </c>
      <c r="D84" s="49">
        <f>D83/IF(ISNUMBER(F83),F83,D83)</f>
        <v>0.55757575757575739</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41.250000000000007</v>
      </c>
      <c r="E86" s="1" t="s">
        <v>150</v>
      </c>
      <c r="F86" s="1"/>
    </row>
    <row r="87" spans="2:6" ht="16.5" customHeight="1">
      <c r="B87" s="1" t="s">
        <v>537</v>
      </c>
      <c r="C87" s="1" t="s">
        <v>538</v>
      </c>
      <c r="D87" s="49">
        <f>D86/D72*D73</f>
        <v>44.83695652173914</v>
      </c>
      <c r="E87" s="1" t="s">
        <v>150</v>
      </c>
      <c r="F87" s="1"/>
    </row>
    <row r="88" spans="2:6" ht="16.5" customHeight="1">
      <c r="B88" s="1" t="s">
        <v>539</v>
      </c>
      <c r="C88" s="1" t="s">
        <v>540</v>
      </c>
      <c r="D88" s="49">
        <f>D86/D72*D71</f>
        <v>24.391304347826093</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321.76086956521749</v>
      </c>
      <c r="E91" s="1" t="s">
        <v>452</v>
      </c>
      <c r="F91" s="2">
        <v>330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28.164912280701753</v>
      </c>
      <c r="E94" s="1" t="s">
        <v>150</v>
      </c>
      <c r="F94" s="22"/>
    </row>
    <row r="95" spans="2:6" ht="16.5" customHeight="1">
      <c r="B95" s="1" t="s">
        <v>548</v>
      </c>
      <c r="C95" s="1" t="s">
        <v>530</v>
      </c>
      <c r="D95" s="49">
        <f>(D73/F83)*((F91/F90)+1)</f>
        <v>30.614035087719298</v>
      </c>
      <c r="E95" s="1" t="s">
        <v>150</v>
      </c>
      <c r="F95" s="22"/>
    </row>
    <row r="96" spans="2:6" ht="16.5" customHeight="1">
      <c r="B96" s="1" t="s">
        <v>549</v>
      </c>
      <c r="C96" s="1" t="s">
        <v>536</v>
      </c>
      <c r="D96" s="49">
        <f>F83*D94</f>
        <v>42.247368421052627</v>
      </c>
      <c r="E96" s="1" t="s">
        <v>150</v>
      </c>
      <c r="F96" s="22"/>
    </row>
    <row r="97" spans="2:15" ht="16.5" customHeight="1">
      <c r="B97" s="1" t="s">
        <v>550</v>
      </c>
      <c r="C97" s="1" t="s">
        <v>538</v>
      </c>
      <c r="D97" s="49">
        <f>F83*D95</f>
        <v>45.921052631578945</v>
      </c>
      <c r="E97" s="1" t="s">
        <v>150</v>
      </c>
      <c r="F97" s="22"/>
    </row>
    <row r="98" spans="2:6" ht="16.5" customHeight="1">
      <c r="B98" s="1" t="s">
        <v>551</v>
      </c>
      <c r="C98" s="1" t="s">
        <v>540</v>
      </c>
      <c r="D98" s="49">
        <f>(D96/D72)*(D71)</f>
        <v>24.981052631578947</v>
      </c>
      <c r="E98" s="1" t="s">
        <v>150</v>
      </c>
      <c r="F98" s="22"/>
    </row>
    <row r="99" spans="2:6" ht="16.5" customHeight="1">
      <c r="B99" s="1" t="s">
        <v>552</v>
      </c>
      <c r="C99" s="1" t="s">
        <v>542</v>
      </c>
      <c r="D99" s="49">
        <f>D98/F83</f>
        <v>16.654035087719297</v>
      </c>
      <c r="E99" s="1" t="s">
        <v>150</v>
      </c>
      <c r="F99" s="22"/>
    </row>
    <row r="100" spans="2:15" ht="16.5" customHeight="1">
      <c r="B100" s="1" t="s">
        <v>553</v>
      </c>
      <c r="C100" s="1" t="s">
        <v>554</v>
      </c>
      <c r="D100" s="49">
        <f>'Design Spec'!D95*F83</f>
        <v>37.5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330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