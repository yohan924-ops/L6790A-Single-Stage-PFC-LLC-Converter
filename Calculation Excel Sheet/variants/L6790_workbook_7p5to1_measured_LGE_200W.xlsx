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<sst xmlns="http://schemas.openxmlformats.org/spreadsheetml/2006/main" count="2127" uniqueCount="1232">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</sst>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104</xdr:row>
      <xdr:rowOff>171360</xdr:rowOff>
    </xdr:from>
    <xdr:to>
      <xdr:col>1</xdr:col>
      <xdr:colOff>2876760</xdr:colOff>
      <xdr:row>118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104</xdr:row>
      <xdr:rowOff>56160</xdr:rowOff>
    </xdr:from>
    <xdr:to>
      <xdr:col>4</xdr:col>
      <xdr:colOff>303840</xdr:colOff>
      <xdr:row>118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measured 200 W copy, 2026-10-09 (user): the vendor-wound 5:2 transformers measure 10.3 uH open and 1.9/2.0/1.8 uH leakage (secondaries shorted) per unit, about half the 3.67 uH the tank was designed for. Tank re-checked for a 200 W test; stay out of 150-180 Vac, where the full-bridge line peak needs more than f.Max.</t>
        </is>
      </c>
    </row>
    <row r="119">
      <c r="B119" s="8" t="inlineStr">
        <is>
          <t xml:space="preserve">Design Spec</t>
        </is>
      </c>
      <c r="C119" s="8" t="inlineStr">
        <is>
          <t xml:space="preserve">D27</t>
        </is>
      </c>
      <c r="D119" s="8" t="inlineStr">
        <is>
          <t xml:space="preserve">657.5</t>
        </is>
      </c>
      <c r="E119" s="8" t="inlineStr">
        <is>
          <t xml:space="preserve">200</t>
        </is>
      </c>
      <c r="F119" s="8" t="inlineStr">
        <is>
          <t xml:space="preserve">Pout, W - 200 W bench test</t>
        </is>
      </c>
    </row>
    <row r="120">
      <c r="B120" s="8" t="inlineStr">
        <is>
          <t xml:space="preserve">Res. Tank Design</t>
        </is>
      </c>
      <c r="C120" s="8" t="inlineStr">
        <is>
          <t xml:space="preserve">F9</t>
        </is>
      </c>
      <c r="D120" s="8" t="inlineStr">
        <is>
          <t xml:space="preserve">6.0241</t>
        </is>
      </c>
      <c r="E120" s="8" t="inlineStr">
        <is>
          <t xml:space="preserve">6.773</t>
        </is>
      </c>
      <c r="F120" s="8" t="inlineStr">
        <is>
          <t xml:space="preserve">n effective = 7.5/sqrt(1 + L.r/L.m), measured lambda 0.226</t>
        </is>
      </c>
    </row>
    <row r="121">
      <c r="B121" s="8" t="inlineStr">
        <is>
          <t xml:space="preserve">Res. Tank Design</t>
        </is>
      </c>
      <c r="C121" s="8" t="inlineStr">
        <is>
          <t xml:space="preserve">F44</t>
        </is>
      </c>
      <c r="D121" s="8" t="inlineStr">
        <is>
          <t xml:space="preserve">11</t>
        </is>
      </c>
      <c r="E121" s="8" t="inlineStr">
        <is>
          <t xml:space="preserve">5.7</t>
        </is>
      </c>
      <c r="F121" s="8" t="inlineStr">
        <is>
          <t xml:space="preserve">L.r, uH - measured 1.9+2.0+1.8</t>
        </is>
      </c>
    </row>
    <row r="122">
      <c r="B122" s="8" t="inlineStr">
        <is>
          <t xml:space="preserve">Res. Tank Design</t>
        </is>
      </c>
      <c r="C122" s="8" t="inlineStr">
        <is>
          <t xml:space="preserve">F45</t>
        </is>
      </c>
      <c r="D122" s="8" t="inlineStr">
        <is>
          <t xml:space="preserve">20</t>
        </is>
      </c>
      <c r="E122" s="8" t="inlineStr">
        <is>
          <t xml:space="preserve">25.2</t>
        </is>
      </c>
      <c r="F122" s="8" t="inlineStr">
        <is>
          <t xml:space="preserve">L.m, uH - 3 x 10.3 measured open minus L.r</t>
        </is>
      </c>
    </row>
    <row r="123">
      <c r="B123" s="8" t="inlineStr">
        <is>
          <t xml:space="preserve">Device Setting</t>
        </is>
      </c>
      <c r="C123" s="8" t="inlineStr">
        <is>
          <t xml:space="preserve">F24</t>
        </is>
      </c>
      <c r="D123" s="8" t="inlineStr">
        <is>
          <t xml:space="preserve">11</t>
        </is>
      </c>
      <c r="E123" s="8" t="inlineStr">
        <is>
          <t xml:space="preserve">9.1</t>
        </is>
      </c>
      <c r="F123" s="8" t="inlineStr">
        <is>
          <t xml:space="preserve">R.T, kOhm - as fitted on the bench board (2026-10-14): f.Min 110 kHz, PF 0.98 at 110 Vac/50 Hz; 6.8 kOhm (f.Min 145 kHz) was the value that held 110 Vac 200 W on board 1, where 8.2 and 10 kOhm lost regulation after ~20 s; 11 kOhm (f.Min 92 kHz) failed too. Long-run 200 W check at 9.1 kOhm still open</t>
        </is>
      </c>
    </row>
    <row r="124">
      <c r="B124" s="8" t="inlineStr">
        <is>
          <t xml:space="preserve">Device Setting</t>
        </is>
      </c>
      <c r="C124" s="8" t="inlineStr">
        <is>
          <t xml:space="preserve">F61</t>
        </is>
      </c>
      <c r="D124" s="8" t="inlineStr">
        <is>
          <t xml:space="preserve">30</t>
        </is>
      </c>
      <c r="E124" s="8" t="inlineStr">
        <is>
          <t xml:space="preserve">16</t>
        </is>
      </c>
      <c r="F124" s="8" t="inlineStr">
        <is>
          <t xml:space="preserve">R.BM, kOhm - as fitted on the bench board (2026-10-11)</t>
        </is>
      </c>
    </row>
    <row r="125">
      <c r="B125" s="8" t="inlineStr">
        <is>
          <t xml:space="preserve">Device Setting</t>
        </is>
      </c>
      <c r="C125" s="8" t="inlineStr">
        <is>
          <t xml:space="preserve">F91</t>
        </is>
      </c>
      <c r="D125" s="8" t="inlineStr">
        <is>
          <t xml:space="preserve">220</t>
        </is>
      </c>
      <c r="E125" s="8" t="inlineStr">
        <is>
          <t xml:space="preserve">360</t>
        </is>
      </c>
      <c r="F125" s="8" t="inlineStr">
        <is>
          <t xml:space="preserve">R.ZCD.H, kOhm - as fitted on the bench board (2026-10-11; board 2 ran 540 kOhm until 2026-10-14, where the ZCD peak 1.3 V never reached the 1.36 V start-up end threshold); 20 pF on the ZCD pin. ZCD measured 2.0 V peak at 360 kOhm, so aux/sec is about 1.5, not the 1 this book assumes</t>
        </is>
      </c>
    </row>
    <row r="126">
      <c r="B126" s="8" t="inlineStr">
        <is>
          <t xml:space="preserve">Device Setting</t>
        </is>
      </c>
      <c r="C126" s="8" t="inlineStr">
        <is>
          <t xml:space="preserve">F108</t>
        </is>
      </c>
      <c r="D126" s="8" t="inlineStr">
        <is>
          <t xml:space="preserve">30</t>
        </is>
      </c>
      <c r="E126" s="8" t="inlineStr">
        <is>
          <t xml:space="preserve">13</t>
        </is>
      </c>
      <c r="F126" s="8" t="inlineStr">
        <is>
          <t xml:space="preserve">R.CFG, kOhm - as fitted on the bench board (2026-10-11); below the 15 kOhm of DS Table 6</t>
        </is>
      </c>
    </row>
    <row r="127">
      <c r="B127" s="8" t="inlineStr">
        <is>
          <t xml:space="preserve">Power Components</t>
        </is>
      </c>
      <c r="C127" s="8" t="inlineStr">
        <is>
          <t xml:space="preserve">F7</t>
        </is>
      </c>
      <c r="D127" s="8" t="inlineStr">
        <is>
          <t xml:space="preserve">2200</t>
        </is>
      </c>
      <c r="E127" s="8" t="inlineStr">
        <is>
          <t xml:space="preserve">660</t>
        </is>
      </c>
      <c r="F127" s="8" t="inlineStr">
        <is>
          <t xml:space="preserve">C.in, nF - as fitted on the bench board (2 x 330 nF, 2026-10-12); C.in.min = 3 nF/W x P.in = 617 nF at 200 W</t>
        </is>
      </c>
    </row>
    <row r="128">
      <c r="B128" s="8" t="inlineStr">
        <is>
          <t xml:space="preserve">Power Components</t>
        </is>
      </c>
      <c r="C128" s="8" t="inlineStr">
        <is>
          <t xml:space="preserve">D23</t>
        </is>
      </c>
      <c r="D128" s="8" t="inlineStr">
        <is>
          <t xml:space="preserve">160</t>
        </is>
      </c>
      <c r="E128" s="8" t="inlineStr">
        <is>
          <t xml:space="preserve">5</t>
        </is>
      </c>
      <c r="F128" s="8" t="inlineStr">
        <is>
          <t xml:space="preserve">n.Cout - as fitted on the bench board (5 x 6800 uF, 2026-10-12)</t>
        </is>
      </c>
    </row>
    <row r="129">
      <c r="B129" s="8" t="inlineStr">
        <is>
          <t xml:space="preserve">Power Components</t>
        </is>
      </c>
      <c r="C129" s="8" t="inlineStr">
        <is>
          <t xml:space="preserve">D24</t>
        </is>
      </c>
      <c r="D129" s="8" t="inlineStr">
        <is>
          <t xml:space="preserve">470</t>
        </is>
      </c>
      <c r="E129" s="8" t="inlineStr">
        <is>
          <t xml:space="preserve">6800</t>
        </is>
      </c>
      <c r="F129" s="8" t="inlineStr">
        <is>
          <t xml:space="preserve">Cout.single, uF - as fitted on the bench board (2026-10-12)</t>
        </is>
      </c>
    </row>
    <row r="131">
      <c r="F131" s="8" t="inlineStr">
        <is>
          <t xml:space="preserve">LGE 200 W workbook copy, 2026-10-16: inputs LGE typed into their sheet-protected copy of the old ST tool, ported here and checked against the schematic of the same date (L6790A board, sheet 3 of 3). Not ported: Vin.min 180 Vac (F20 stays the 173.2 Vac morphing formula), Vrect 0.395 V and the STPS30M60S entry (the old tool has no SR option; this book models the TPH3R70APL1 SR of the board with Conf.SR = 2, RD 3.7 mOhm, Vrect 0).</t>
        </is>
      </c>
    </row>
    <row r="132">
      <c r="B132" s="8" t="inlineStr">
        <is>
          <t xml:space="preserve">Design Spec</t>
        </is>
      </c>
      <c r="C132" s="8" t="inlineStr">
        <is>
          <t xml:space="preserve">D29</t>
        </is>
      </c>
      <c r="D132" s="8" t="inlineStr">
        <is>
          <t xml:space="preserve">25</t>
        </is>
      </c>
      <c r="E132" s="8" t="inlineStr">
        <is>
          <t xml:space="preserve">30</t>
        </is>
      </c>
      <c r="F132" s="8" t="inlineStr">
        <is>
          <t xml:space="preserve">h, mm - max output capacitor height (LGE workbook)</t>
        </is>
      </c>
    </row>
    <row r="133">
      <c r="B133" s="8" t="inlineStr">
        <is>
          <t xml:space="preserve">Design Spec</t>
        </is>
      </c>
      <c r="C133" s="8" t="inlineStr">
        <is>
          <t xml:space="preserve">D46</t>
        </is>
      </c>
      <c r="D133" s="8" t="inlineStr">
        <is>
          <t xml:space="preserve">800</t>
        </is>
      </c>
      <c r="E133" s="8" t="inlineStr">
        <is>
          <t xml:space="preserve">5229</t>
        </is>
      </c>
      <c r="F133" s="8" t="inlineStr">
        <is>
          <t xml:space="preserve">c.HB, pF - 2 x Coss(tr) 897 pF x 400 V / 245 V = 2929 pF (l6790 [116]) + 100 pF stray + C115/C117 2.2 nF/2 kV at the midpoint = 5229 pF; LGE typed 500 pF, which leaves out the 2.2 nF</t>
        </is>
      </c>
    </row>
    <row r="134">
      <c r="B134" s="8" t="inlineStr">
        <is>
          <t xml:space="preserve">Design Spec</t>
        </is>
      </c>
      <c r="C134" s="8" t="inlineStr">
        <is>
          <t xml:space="preserve">D47</t>
        </is>
      </c>
      <c r="D134" s="8" t="inlineStr">
        <is>
          <t xml:space="preserve">220</t>
        </is>
      </c>
      <c r="E134" s="8" t="inlineStr">
        <is>
          <t xml:space="preserve">270</t>
        </is>
      </c>
      <c r="F134" s="8" t="inlineStr">
        <is>
          <t xml:space="preserve">t.D, ns - dead time as typed by LGE</t>
        </is>
      </c>
    </row>
    <row r="135">
      <c r="B135" s="8" t="inlineStr">
        <is>
          <t xml:space="preserve">Res. Tank Design</t>
        </is>
      </c>
      <c r="C135" s="8" t="inlineStr">
        <is>
          <t xml:space="preserve">F43</t>
        </is>
      </c>
      <c r="D135" s="8" t="inlineStr">
        <is>
          <t xml:space="preserve">100</t>
        </is>
      </c>
      <c r="E135" s="8" t="inlineStr">
        <is>
          <t xml:space="preserve">117</t>
        </is>
      </c>
      <c r="F135" s="8" t="inlineStr">
        <is>
          <t xml:space="preserve">C.r, nF - board 47 nF 630 V X7R 2S x 5P = 117.5 nF (C106..C116)</t>
        </is>
      </c>
    </row>
    <row r="136">
      <c r="B136" s="8" t="inlineStr">
        <is>
          <t xml:space="preserve">Power Components</t>
        </is>
      </c>
      <c r="C136" s="8" t="inlineStr">
        <is>
          <t xml:space="preserve">D38</t>
        </is>
      </c>
      <c r="D136" s="8" t="inlineStr">
        <is>
          <t xml:space="preserve">10</t>
        </is>
      </c>
      <c r="E136" s="8" t="inlineStr">
        <is>
          <t xml:space="preserve">50</t>
        </is>
      </c>
      <c r="F136" s="8" t="inlineStr">
        <is>
          <t xml:space="preserve">Cceramic, uF - 5 x 10 uF/50 V beside the 5 x 6800 uF</t>
        </is>
      </c>
    </row>
    <row r="137">
      <c r="B137" s="8" t="inlineStr">
        <is>
          <t xml:space="preserve">Device Setting</t>
        </is>
      </c>
      <c r="C137" s="8" t="inlineStr">
        <is>
          <t xml:space="preserve">D57</t>
        </is>
      </c>
      <c r="D137" s="8" t="inlineStr">
        <is>
          <t xml:space="preserve">75</t>
        </is>
      </c>
      <c r="E137" s="8" t="inlineStr">
        <is>
          <t xml:space="preserve">0</t>
        </is>
      </c>
      <c r="F137" s="8" t="inlineStr">
        <is>
          <t xml:space="preserve">P.in.BM, W - burst mode not used: BM pin grounded through R211 0 ohm</t>
        </is>
      </c>
    </row>
    <row r="138">
      <c r="B138" s="8" t="inlineStr">
        <is>
          <t xml:space="preserve">Device Setting</t>
        </is>
      </c>
      <c r="C138" s="8" t="inlineStr">
        <is>
          <t xml:space="preserve">F61</t>
        </is>
      </c>
      <c r="D138" s="8" t="inlineStr">
        <is>
          <t xml:space="preserve">16</t>
        </is>
      </c>
      <c r="E138" s="8" t="inlineStr">
        <is>
          <t xml:space="preserve">0</t>
        </is>
      </c>
      <c r="F138" s="8" t="inlineStr">
        <is>
          <t xml:space="preserve">R.BM, kOhm - R211 0 ohm, BM grounded</t>
        </is>
      </c>
    </row>
    <row r="139">
      <c r="B139" s="8" t="inlineStr">
        <is>
          <t xml:space="preserve">Device Setting</t>
        </is>
      </c>
      <c r="C139" s="8" t="inlineStr">
        <is>
          <t xml:space="preserve">F83</t>
        </is>
      </c>
      <c r="D139" s="8" t="inlineStr">
        <is>
          <t xml:space="preserve">1.0</t>
        </is>
      </c>
      <c r="E139" s="8" t="inlineStr">
        <is>
          <t xml:space="preserve">1.5</t>
        </is>
      </c>
      <c r="F139" s="8" t="inlineStr">
        <is>
          <t xml:space="preserve">n.aux/n.sec - aux 3 T (pins 8-7) over the 2 T secondary; matches the ZCD 2.0 V peak measured at 360 k; lower ZCD resistor R208 18 k + R213 1 k = 19 k (F90)</t>
        </is>
      </c>
    </row>
    <row r="140">
      <c r="B140" s="8" t="inlineStr">
        <is>
          <t xml:space="preserve">CompensationNet&amp;Check</t>
        </is>
      </c>
      <c r="C140" s="8" t="inlineStr">
        <is>
          <t xml:space="preserve">C19</t>
        </is>
      </c>
      <c r="D140" s="8" t="inlineStr">
        <is>
          <t xml:space="preserve">TL431AIT</t>
        </is>
      </c>
      <c r="E140" s="8" t="inlineStr">
        <is>
          <t xml:space="preserve">TL431G-AE2-R</t>
        </is>
      </c>
      <c r="F140" s="8" t="inlineStr">
        <is>
          <t xml:space="preserve">TL431 part as on the board (Q44/Q46)</t>
        </is>
      </c>
    </row>
    <row r="141">
      <c r="B141" s="8" t="inlineStr">
        <is>
          <t xml:space="preserve">CompensationNet&amp;Check</t>
        </is>
      </c>
      <c r="C141" s="8" t="inlineStr">
        <is>
          <t xml:space="preserve">D23</t>
        </is>
      </c>
      <c r="D141" s="8" t="inlineStr">
        <is>
          <t xml:space="preserve">0.8</t>
        </is>
      </c>
      <c r="E141" s="8" t="inlineStr">
        <is>
          <t xml:space="preserve">0.5</t>
        </is>
      </c>
      <c r="F141" s="8" t="inlineStr">
        <is>
          <t xml:space="preserve">I.min, mA - TL431G-AE2-R as typed by LGE</t>
        </is>
      </c>
    </row>
    <row r="142">
      <c r="B142" s="8" t="inlineStr">
        <is>
          <t xml:space="preserve">CompensationNet&amp;Check</t>
        </is>
      </c>
      <c r="C142" s="8" t="inlineStr">
        <is>
          <t xml:space="preserve">C25</t>
        </is>
      </c>
      <c r="D142" s="8" t="inlineStr">
        <is>
          <t xml:space="preserve">SFH617A</t>
        </is>
      </c>
      <c r="E142" s="8" t="inlineStr">
        <is>
          <t xml:space="preserve">UPC1008G-LS04-R</t>
        </is>
      </c>
      <c r="F142" s="8" t="inlineStr">
        <is>
          <t xml:space="preserve">optocoupler as on the board (U13)</t>
        </is>
      </c>
    </row>
    <row r="143">
      <c r="B143" s="8" t="inlineStr">
        <is>
          <t xml:space="preserve">CompensationNet&amp;Check</t>
        </is>
      </c>
      <c r="C143" s="8" t="inlineStr">
        <is>
          <t xml:space="preserve">D28</t>
        </is>
      </c>
      <c r="D143" s="8" t="inlineStr">
        <is>
          <t xml:space="preserve">1.15</t>
        </is>
      </c>
      <c r="E143" s="8" t="inlineStr">
        <is>
          <t xml:space="preserve">1.45</t>
        </is>
      </c>
      <c r="F143" s="8" t="inlineStr">
        <is>
          <t xml:space="preserve">V.Fo, V - UPC1008G-LS04-R as typed by LGE (CTR 0.37/0.53 and C.opto 3 nF left at the SFH617A values - the UPC1008 datasheet gives rank 130-260 % at 5 mA, no 150/300 uA data)</t>
        </is>
      </c>
    </row>
    <row r="144">
      <c r="B144" s="8" t="inlineStr">
        <is>
          <t xml:space="preserve">CompensationNet&amp;Check</t>
        </is>
      </c>
      <c r="C144" s="8" t="inlineStr">
        <is>
          <t xml:space="preserve">F93</t>
        </is>
      </c>
      <c r="D144" s="8" t="inlineStr">
        <is>
          <t xml:space="preserve">82</t>
        </is>
      </c>
      <c r="E144" s="8" t="inlineStr">
        <is>
          <t xml:space="preserve">220</t>
        </is>
      </c>
      <c r="F144" s="8" t="inlineStr">
        <is>
          <t xml:space="preserve">C.Fo, nF - C95 220 nF (34 mF output bank)</t>
        </is>
      </c>
    </row>
    <row r="145">
      <c r="B145" s="8" t="inlineStr">
        <is>
          <t xml:space="preserve">CompensationNet&amp;Check</t>
        </is>
      </c>
      <c r="C145" s="8" t="inlineStr">
        <is>
          <t xml:space="preserve">F94</t>
        </is>
      </c>
      <c r="D145" s="8" t="inlineStr">
        <is>
          <t xml:space="preserve">560</t>
        </is>
      </c>
      <c r="E145" s="8" t="inlineStr">
        <is>
          <t xml:space="preserve">2200</t>
        </is>
      </c>
      <c r="F145" s="8" t="inlineStr">
        <is>
          <t xml:space="preserve">C.F, nF - C98 2.2 uF (C99 0.1 uF in parallel)</t>
        </is>
      </c>
    </row>
    <row r="146">
      <c r="B146" s="8" t="inlineStr">
        <is>
          <t xml:space="preserve">CompensationNet&amp;Check</t>
        </is>
      </c>
      <c r="C146" s="8" t="inlineStr">
        <is>
          <t xml:space="preserve">F95</t>
        </is>
      </c>
      <c r="D146" s="8" t="inlineStr">
        <is>
          <t xml:space="preserve">47</t>
        </is>
      </c>
      <c r="E146" s="8" t="inlineStr">
        <is>
          <t xml:space="preserve">22</t>
        </is>
      </c>
      <c r="F146" s="8" t="inlineStr">
        <is>
          <t xml:space="preserve">R.F, kOhm - R187 22 k</t>
        </is>
      </c>
    </row>
    <row r="147">
      <c r="B147" s="8" t="inlineStr">
        <is>
          <t xml:space="preserve">CompensationNet&amp;Check</t>
        </is>
      </c>
      <c r="C147" s="8" t="inlineStr">
        <is>
          <t xml:space="preserve">F96</t>
        </is>
      </c>
      <c r="D147" s="8" t="inlineStr">
        <is>
          <t xml:space="preserve">1.55</t>
        </is>
      </c>
      <c r="E147" s="8" t="inlineStr">
        <is>
          <t xml:space="preserve">1.6</t>
        </is>
      </c>
      <c r="F147" s="8" t="inlineStr">
        <is>
          <t xml:space="preserve">C.fx, nF - 1.5 nF + 100 pF at the FB pin</t>
        </is>
      </c>
    </row>
    <row r="148">
      <c r="B148" s="8" t="inlineStr">
        <is>
          <t xml:space="preserve">CompensationNet&amp;Check</t>
        </is>
      </c>
      <c r="C148" s="8" t="inlineStr">
        <is>
          <t xml:space="preserve">D110</t>
        </is>
      </c>
      <c r="D148" s="8" t="inlineStr">
        <is>
          <t xml:space="preserve">47</t>
        </is>
      </c>
      <c r="E148" s="8" t="inlineStr">
        <is>
          <t xml:space="preserve">50</t>
        </is>
      </c>
      <c r="F148" s="8" t="inlineStr">
        <is>
          <t xml:space="preserve">fl, Hz - line frequency of the test (50 Hz)</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5" ht="16.5" customHeight="1">
      <c r="B27" s="1" t="s">
        <v>159</v>
      </c>
      <c r="C27" s="1" t="s">
        <v>160</v>
      </c>
      <c r="D27" s="2">
        <v>200</v>
      </c>
      <c r="E27" s="1" t="s">
        <v>161</v>
      </c>
    </row>
    <row r="28" spans="2:10" ht="16.5" customHeight="1">
      <c r="B28" s="1" t="s">
        <v>162</v>
      </c>
      <c r="C28" s="1" t="s">
        <v>163</v>
      </c>
      <c r="D28" s="2">
        <v>98</v>
      </c>
      <c r="E28" s="1" t="s">
        <v>155</v>
      </c>
    </row>
    <row r="29" spans="2:5" ht="16.5" customHeight="1">
      <c r="B29" s="1" t="s">
        <v>164</v>
      </c>
      <c r="C29" s="1" t="s">
        <v>165</v>
      </c>
      <c r="D29" s="2">
        <v>30</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5229</v>
      </c>
      <c r="E46" s="1" t="s">
        <v>194</v>
      </c>
    </row>
    <row r="47" spans="2:5" ht="16.5" customHeight="1">
      <c r="B47" s="1" t="s">
        <v>195</v>
      </c>
      <c r="C47" s="1" t="s">
        <v>196</v>
      </c>
      <c r="D47" s="2">
        <v>270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68"/>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6.773</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117</v>
      </c>
    </row>
    <row r="44" spans="2:6" ht="14.25" customHeight="1">
      <c r="B44" s="1" t="s">
        <v>318</v>
      </c>
      <c r="C44" s="1" t="s">
        <v>319</v>
      </c>
      <c r="D44" s="3">
        <f>1/(IF(F43,F43,D43)*(10^-12)*(2*PI()*'Design Spec'!D102*1000)^2)*1000</f>
        <v>11.257909293593086</v>
      </c>
      <c r="E44" s="1" t="s">
        <v>320</v>
      </c>
      <c r="F44" s="2">
        <v>5.7</v>
      </c>
    </row>
    <row r="45" spans="2:6" ht="14.25" customHeight="1">
      <c r="B45" s="1" t="s">
        <v>321</v>
      </c>
      <c r="C45" s="1" t="s">
        <v>322</v>
      </c>
      <c r="D45" s="3">
        <f>IF(F44,F44,D44)/D16</f>
        <v>8.8661373823173655</v>
      </c>
      <c r="E45" s="1" t="s">
        <v>320</v>
      </c>
      <c r="F45" s="2">
        <v>25.2</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19"/>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660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5</v>
      </c>
      <c r="E23" s="1" t="s">
        <v>181</v>
      </c>
    </row>
    <row r="24" spans="2:5" ht="14.25" customHeight="1">
      <c r="B24" s="1" t="s">
        <v>369</v>
      </c>
      <c r="C24" s="1" t="s">
        <v>370</v>
      </c>
      <c r="D24" s="2">
        <v>6800</v>
      </c>
      <c r="E24" s="1" t="s">
        <v>172</v>
      </c>
    </row>
    <row r="25" spans="2:5" ht="14.25" customHeight="1">
      <c r="B25" s="1" t="s">
        <v>371</v>
      </c>
      <c r="C25" s="1" t="s">
        <v>174</v>
      </c>
      <c r="D25" s="2">
        <v>30</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50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1.8</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10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spans="2:14" ht="15.75" customHeight="1">
      <c r="B76" s="20" t="s">
        <v>356</v>
      </c>
      <c r="C76" s="20" t="s">
        <v>132</v>
      </c>
      <c r="D76" s="20" t="s">
        <v>133</v>
      </c>
      <c r="E76" s="20" t="s">
        <v>134</v>
      </c>
      <c r="F76" s="76"/>
      <c r="G76" s="76"/>
      <c r="H76" s="76"/>
      <c r="I76" s="76"/>
      <c r="J76" s="76"/>
      <c r="K76" s="76"/>
      <c r="L76" s="76"/>
      <c r="M76" s="76"/>
      <c r="N76" s="76"/>
    </row>
    <row r="77" spans="2:14" ht="14.25" customHeight="1">
      <c r="B77" s="1" t="s">
        <v>426</v>
      </c>
      <c r="C77" s="1" t="s">
        <v>427</v>
      </c>
      <c r="D77" s="1">
        <f>(2*D71)+D72</f>
        <v>1804</v>
      </c>
      <c r="E77" s="1" t="s">
        <v>194</v>
      </c>
      <c r="F77" s="76"/>
      <c r="G77" s="76"/>
      <c r="H77" s="76"/>
      <c r="I77" s="76"/>
      <c r="J77" s="76"/>
      <c r="K77" s="76"/>
      <c r="L77" s="76"/>
      <c r="M77" s="76"/>
      <c r="N77" s="76"/>
    </row>
    <row r="78" spans="2:14" ht="15" customHeight="1">
      <c r="B78" s="1" t="s">
        <v>1193</v>
      </c>
      <c r="C78" s="1" t="s">
        <v>428</v>
      </c>
      <c r="D78" s="200">
        <f>D70*D58*D62^2</f>
        <v>4.8234434836050069</v>
      </c>
      <c r="E78" s="1" t="s">
        <v>161</v>
      </c>
      <c r="F78" s="76"/>
      <c r="G78" s="76"/>
      <c r="H78" s="76"/>
      <c r="I78" s="76"/>
      <c r="J78" s="76"/>
      <c r="K78" s="76"/>
      <c r="L78" s="76"/>
      <c r="M78" s="76"/>
      <c r="N78" s="76"/>
    </row>
    <row r="79" spans="2:14" ht="15" customHeight="1">
      <c r="B79" s="1" t="s">
        <v>1194</v>
      </c>
      <c r="C79" s="1" t="s">
        <v>1195</v>
      </c>
      <c r="D79" s="200">
        <f>D70*D58*(D60/D68)^2</f>
        <v>9.6468869672100155</v>
      </c>
      <c r="E79" s="1" t="s">
        <v>161</v>
      </c>
      <c r="F79" s="76"/>
      <c r="G79" s="76"/>
      <c r="H79" s="76"/>
      <c r="I79" s="76"/>
      <c r="J79" s="76"/>
      <c r="K79" s="76"/>
      <c r="L79" s="76"/>
      <c r="M79" s="76"/>
      <c r="N79" s="76"/>
    </row>
    <row r="80" spans="2:14" ht="14.25" customHeight="1">
      <c r="B80" s="1" t="s">
        <v>1211</v>
      </c>
      <c r="C80" s="1" t="s">
        <v>429</v>
      </c>
      <c r="D80" s="200">
        <f>(125-D73)/MAX(D78,D79)</f>
        <v>10.366038323026094</v>
      </c>
      <c r="E80" s="1" t="s">
        <v>430</v>
      </c>
      <c r="F80" s="76"/>
      <c r="G80" s="76"/>
      <c r="H80" s="76"/>
      <c r="I80" s="76"/>
      <c r="J80" s="76"/>
      <c r="K80" s="76"/>
      <c r="L80" s="76"/>
      <c r="M80" s="76"/>
      <c r="N80" s="76"/>
    </row>
    <row r="81" spans="2:14" ht="18" customHeight="1">
      <c r="B8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81" s="19"/>
      <c r="F81" s="76"/>
      <c r="G81" s="76"/>
      <c r="H81" s="76"/>
      <c r="I81" s="76"/>
      <c r="J81" s="76"/>
      <c r="K81" s="76"/>
      <c r="L81" s="76"/>
      <c r="M81" s="76"/>
      <c r="N81" s="76"/>
    </row>
    <row r="82" spans="2:14" ht="14.25" customHeight="1">
      <c r="B82" s="1"/>
      <c r="C82" s="1"/>
      <c r="D82" s="77"/>
      <c r="E82" s="1"/>
      <c r="F82" s="76"/>
      <c r="G82" s="76"/>
      <c r="H82" s="76"/>
      <c r="I82" s="76"/>
      <c r="J82" s="76"/>
      <c r="K82" s="76"/>
      <c r="L82" s="76"/>
      <c r="M82" s="76"/>
      <c r="N82" s="76"/>
    </row>
    <row r="83" spans="2:14" ht="15.75" customHeight="1">
      <c r="B83" s="20" t="s">
        <v>356</v>
      </c>
      <c r="C83" s="20" t="s">
        <v>132</v>
      </c>
      <c r="D83" s="20" t="s">
        <v>133</v>
      </c>
      <c r="E83" s="20" t="s">
        <v>431</v>
      </c>
      <c r="F83" s="76"/>
      <c r="G83" s="76"/>
      <c r="H83" s="76"/>
      <c r="I83" s="76"/>
      <c r="J83" s="76"/>
      <c r="K83" s="76"/>
      <c r="L83" s="76"/>
      <c r="M83" s="76"/>
      <c r="N83" s="76"/>
    </row>
    <row r="84" spans="2:14" ht="15" customHeight="1">
      <c r="B84" s="1" t="s">
        <v>1086</v>
      </c>
      <c r="C84" s="1" t="s">
        <v>1187</v>
      </c>
      <c r="D84" s="49">
        <f>CC!J25</f>
        <v>28.329125161562832</v>
      </c>
      <c r="E84" s="1" t="s">
        <v>237</v>
      </c>
      <c r="F84" s="65"/>
      <c r="G84" s="76"/>
      <c r="H84" s="76"/>
      <c r="I84" s="76"/>
      <c r="J84" s="76"/>
      <c r="K84" s="76"/>
      <c r="L84" s="76"/>
      <c r="M84" s="76"/>
      <c r="N84" s="76"/>
    </row>
    <row r="85" spans="2:14" ht="15" customHeight="1">
      <c r="B85" s="1" t="s">
        <v>1087</v>
      </c>
      <c r="C85" s="1" t="s">
        <v>1188</v>
      </c>
      <c r="D85" s="49">
        <f>CC!J26</f>
        <v>28.329125161562832</v>
      </c>
      <c r="E85" s="1" t="s">
        <v>237</v>
      </c>
      <c r="F85" s="65"/>
      <c r="G85" s="76"/>
      <c r="H85" s="76"/>
      <c r="I85" s="76"/>
      <c r="J85" s="76"/>
      <c r="K85" s="76"/>
      <c r="L85" s="76"/>
      <c r="M85" s="76"/>
      <c r="N85" s="76"/>
    </row>
    <row r="86" spans="2:14" ht="15" customHeight="1">
      <c r="B86" s="1" t="s">
        <v>1088</v>
      </c>
      <c r="C86" s="1" t="s">
        <v>432</v>
      </c>
      <c r="D86" s="49">
        <f>CC!E24</f>
        <v>98.617963506893403</v>
      </c>
      <c r="E86" s="1" t="s">
        <v>237</v>
      </c>
      <c r="F86" s="76"/>
      <c r="G86" s="76"/>
      <c r="H86" s="76"/>
      <c r="I86" s="76"/>
      <c r="J86" s="76"/>
      <c r="K86" s="76"/>
      <c r="L86" s="76"/>
      <c r="M86" s="76"/>
      <c r="N86" s="76"/>
    </row>
    <row r="87" spans="2:14" ht="15" customHeight="1">
      <c r="B87" s="1" t="s">
        <v>1089</v>
      </c>
      <c r="C87" s="1" t="s">
        <v>1090</v>
      </c>
      <c r="D87" s="49">
        <f>IF(ISNUMBER(F85),F85,D85)/D103</f>
        <v>14.164562580781416</v>
      </c>
      <c r="E87" s="1" t="s">
        <v>237</v>
      </c>
      <c r="F87" s="76"/>
      <c r="G87" s="76"/>
      <c r="H87" s="76"/>
      <c r="I87" s="76"/>
      <c r="J87" s="76"/>
      <c r="K87" s="76"/>
      <c r="L87" s="76"/>
      <c r="M87" s="76"/>
      <c r="N87" s="76"/>
    </row>
    <row r="88" spans="2:14" ht="15" customHeight="1">
      <c r="B88" s="20" t="s">
        <v>356</v>
      </c>
      <c r="C88" s="20" t="s">
        <v>132</v>
      </c>
      <c r="D88" s="20" t="s">
        <v>133</v>
      </c>
      <c r="E88" s="20" t="s">
        <v>431</v>
      </c>
      <c r="F88" s="76"/>
      <c r="G88" s="76"/>
      <c r="H88" s="76"/>
      <c r="I88" s="76"/>
      <c r="J88" s="76"/>
      <c r="K88" s="76"/>
      <c r="L88" s="76"/>
      <c r="M88" s="76"/>
      <c r="N88" s="76"/>
    </row>
    <row r="89" spans="2:14" ht="15" customHeight="1">
      <c r="B89" s="1" t="s">
        <v>1091</v>
      </c>
      <c r="C89" s="1" t="s">
        <v>415</v>
      </c>
      <c r="D89" s="49">
        <f>1.2*2*'Design Spec'!$D$95/'Design Spec'!$D$107</f>
        <v>60</v>
      </c>
      <c r="E89" s="1" t="s">
        <v>150</v>
      </c>
      <c r="F89" s="76"/>
      <c r="G89" s="76"/>
      <c r="H89" s="76"/>
      <c r="I89" s="76"/>
      <c r="J89" s="76"/>
      <c r="K89" s="76"/>
      <c r="L89" s="76"/>
      <c r="M89" s="76"/>
      <c r="N89" s="76"/>
    </row>
    <row r="90" spans="2:14" ht="14.25" customHeight="1">
      <c r="B90" s="1" t="s">
        <v>1092</v>
      </c>
      <c r="C90" s="1" t="s">
        <v>416</v>
      </c>
      <c r="D90" s="49">
        <f>1.2*D86</f>
        <v>118.34155620827208</v>
      </c>
      <c r="E90" s="1" t="s">
        <v>237</v>
      </c>
      <c r="F90" s="76"/>
      <c r="G90" s="76"/>
      <c r="H90" s="76"/>
      <c r="I90" s="76"/>
      <c r="J90" s="76"/>
      <c r="K90" s="76"/>
      <c r="L90" s="76"/>
      <c r="M90" s="76"/>
      <c r="N90" s="76"/>
    </row>
    <row r="91" spans="2:14" ht="14.25" customHeight="1">
      <c r="B91" s="1" t="s">
        <v>1093</v>
      </c>
      <c r="C91" s="1" t="s">
        <v>1094</v>
      </c>
      <c r="D91" s="49">
        <f>D86/D103</f>
        <v>49.308981753446702</v>
      </c>
      <c r="E91" s="1" t="s">
        <v>237</v>
      </c>
      <c r="F91" s="76"/>
      <c r="G91" s="76"/>
      <c r="H91" s="76"/>
      <c r="I91" s="76"/>
      <c r="J91" s="76"/>
      <c r="K91" s="76"/>
      <c r="L91" s="76"/>
      <c r="M91" s="76"/>
      <c r="N91" s="76"/>
    </row>
    <row r="92" spans="2:14" ht="15.75" customHeight="1">
      <c r="B92" s="20" t="s">
        <v>417</v>
      </c>
      <c r="C92" s="202" t="s">
        <v>1202</v>
      </c>
      <c r="D92" s="202"/>
      <c r="E92" s="202"/>
      <c r="F92" s="76"/>
      <c r="G92" s="76"/>
      <c r="H92" s="76"/>
      <c r="I92" s="76"/>
      <c r="J92" s="76"/>
      <c r="K92" s="76"/>
      <c r="L92" s="76"/>
      <c r="M92" s="76"/>
      <c r="N92" s="76"/>
    </row>
    <row r="93" spans="2:14" ht="14.25" customHeight="1">
      <c r="B93" s="1" t="s">
        <v>1095</v>
      </c>
      <c r="C93" s="1" t="s">
        <v>1096</v>
      </c>
      <c r="D93" s="2">
        <v>2</v>
      </c>
      <c r="E93" s="26" t="s">
        <v>181</v>
      </c>
      <c r="F93" s="76"/>
    </row>
    <row r="94" spans="2:14" ht="15.75" customHeight="1">
      <c r="B94" s="20" t="s">
        <v>356</v>
      </c>
      <c r="C94" s="20" t="s">
        <v>132</v>
      </c>
      <c r="D94" s="20" t="s">
        <v>133</v>
      </c>
      <c r="E94" s="20" t="s">
        <v>134</v>
      </c>
    </row>
    <row r="95" spans="2:14" ht="14.25" customHeight="1">
      <c r="B95" s="1" t="s">
        <v>1097</v>
      </c>
      <c r="C95" s="1" t="s">
        <v>403</v>
      </c>
      <c r="D95" s="2">
        <v>0</v>
      </c>
      <c r="E95" s="1" t="s">
        <v>150</v>
      </c>
    </row>
    <row r="96" spans="2:14" ht="15" customHeight="1">
      <c r="B96" s="1" t="s">
        <v>1219</v>
      </c>
      <c r="C96" s="1" t="s">
        <v>433</v>
      </c>
      <c r="D96" s="2">
        <v>3.7000000000000002E-3</v>
      </c>
      <c r="E96" s="26" t="s">
        <v>175</v>
      </c>
    </row>
    <row r="97" spans="2:5" ht="15" customHeight="1">
      <c r="B97" s="1" t="s">
        <v>423</v>
      </c>
      <c r="C97" s="1" t="s">
        <v>424</v>
      </c>
      <c r="D97" s="2">
        <v>25</v>
      </c>
      <c r="E97" s="26" t="s">
        <v>425</v>
      </c>
    </row>
    <row r="98" spans="2:5" ht="15">
      <c r="B98" s="1" t="s">
        <v>1217</v>
      </c>
      <c r="C98" s="1" t="s">
        <v>1098</v>
      </c>
      <c r="D98" s="2">
        <v>1.9</v>
      </c>
      <c r="E98" s="26" t="s">
        <v>181</v>
      </c>
    </row>
    <row r="99" spans="2:5" ht="15.75" customHeight="1">
      <c r="B99" s="20" t="s">
        <v>356</v>
      </c>
      <c r="C99" s="20" t="s">
        <v>132</v>
      </c>
      <c r="D99" s="20" t="s">
        <v>133</v>
      </c>
      <c r="E99" s="20" t="s">
        <v>134</v>
      </c>
    </row>
    <row r="100" spans="2:5" ht="14.25" customHeight="1">
      <c r="B100" s="1" t="s">
        <v>1084</v>
      </c>
      <c r="C100" s="1" t="s">
        <v>434</v>
      </c>
      <c r="D100" s="49">
        <f>IF(D93=2,0,0.5*D95*'Preliminary Calculation'!D7/D103)+D96*D98*D87^2</f>
        <v>1.4104628767272578</v>
      </c>
      <c r="E100" s="1" t="s">
        <v>161</v>
      </c>
    </row>
    <row r="101" spans="2:5" ht="15" customHeight="1">
      <c r="B101" s="1" t="s">
        <v>1099</v>
      </c>
      <c r="C101" s="1" t="s">
        <v>429</v>
      </c>
      <c r="D101" s="49">
        <f>(125-D97)/D100</f>
        <v>70.898711089818406</v>
      </c>
      <c r="E101" s="1" t="s">
        <v>430</v>
      </c>
    </row>
    <row r="102" spans="2:5" ht="14.25" customHeight="1">
      <c r="B102" s="1" t="s">
        <v>1100</v>
      </c>
      <c r="C102" s="1" t="s">
        <v>435</v>
      </c>
      <c r="D102" s="49">
        <f>D100*D103*2*'Design Spec'!$D$107</f>
        <v>5.6418515069090311</v>
      </c>
      <c r="E102" s="1" t="s">
        <v>161</v>
      </c>
    </row>
    <row r="103" spans="2:5" ht="15">
      <c r="B103" s="1" t="s">
        <v>1101</v>
      </c>
      <c r="C103" s="1" t="s">
        <v>1102</v>
      </c>
      <c r="D103" s="2">
        <v>2</v>
      </c>
      <c r="E103" s="26" t="s">
        <v>181</v>
      </c>
    </row>
    <row r="104" spans="2:5" ht="18" customHeight="1">
      <c r="B104" s="28" t="s">
        <v>436</v>
      </c>
      <c r="C104" s="28" t="s">
        <v>437</v>
      </c>
      <c r="D104" s="78"/>
      <c r="E104" s="79"/>
    </row>
    <row r="105" spans="2:5" ht="14.25" customHeight="1">
      <c r="B105" s="80"/>
      <c r="C105" s="80"/>
      <c r="E105" s="81"/>
    </row>
    <row r="106" spans="2:5" ht="14.25" customHeight="1">
      <c r="B106" s="80"/>
      <c r="C106" s="80"/>
      <c r="E106" s="81"/>
    </row>
    <row r="107" spans="2:5" ht="14.25" customHeight="1">
      <c r="B107" s="80"/>
      <c r="C107" s="80"/>
      <c r="E107" s="81"/>
    </row>
    <row r="108" spans="2:5" ht="14.25" customHeight="1">
      <c r="B108" s="80"/>
      <c r="C108" s="80"/>
      <c r="E108" s="81"/>
    </row>
    <row r="109" spans="2:5" ht="14.25" customHeight="1">
      <c r="B109" s="80"/>
      <c r="C109" s="80"/>
      <c r="E109" s="81"/>
    </row>
    <row r="110" spans="2:5" ht="14.25" customHeight="1">
      <c r="B110" s="80"/>
      <c r="C110" s="80"/>
      <c r="E110" s="81"/>
    </row>
    <row r="111" spans="2:5" ht="14.25" customHeight="1">
      <c r="B111" s="80"/>
      <c r="C111" s="80"/>
      <c r="E111" s="81"/>
    </row>
    <row r="112" spans="2:5" ht="14.25" customHeight="1">
      <c r="B112" s="80"/>
      <c r="C112" s="80"/>
      <c r="E112" s="81"/>
    </row>
    <row r="113" spans="2:5" ht="14.25" customHeight="1">
      <c r="B113" s="80"/>
      <c r="C113" s="80"/>
      <c r="E113" s="81"/>
    </row>
    <row r="114" spans="2:5" ht="14.25" customHeight="1">
      <c r="B114" s="80"/>
      <c r="C114" s="80"/>
      <c r="E114" s="81"/>
    </row>
    <row r="115" spans="2:5" ht="14.25" customHeight="1">
      <c r="B115" s="80"/>
      <c r="C115" s="80"/>
      <c r="E115" s="81"/>
    </row>
    <row r="116" spans="2:5" ht="14.25" customHeight="1">
      <c r="B116" s="80"/>
      <c r="C116" s="80"/>
      <c r="E116" s="81"/>
    </row>
    <row r="117" spans="2:5" ht="14.25" customHeight="1">
      <c r="B117" s="80"/>
      <c r="C117" s="80"/>
      <c r="E117" s="81"/>
    </row>
    <row r="118" spans="2:5" ht="14.25" customHeight="1">
      <c r="B118" s="80"/>
      <c r="C118" s="80"/>
      <c r="E118" s="81"/>
    </row>
    <row r="119" spans="2:5" ht="14.25" customHeight="1">
      <c r="B119" s="82"/>
      <c r="C119" s="82"/>
      <c r="D119" s="83"/>
      <c r="E119" s="84"/>
    </row>
  </sheetData>
  <mergeCells count="3">
    <mergeCell ref="C50:E50"/>
    <mergeCell ref="C67:E67"/>
    <mergeCell ref="C92:E9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9.1</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5" ht="16.5" customHeight="1">
      <c r="B57" s="1" t="s">
        <v>505</v>
      </c>
      <c r="C57" s="1" t="s">
        <v>506</v>
      </c>
      <c r="D57" s="2">
        <v>0</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6" ht="16.5" customHeight="1">
      <c r="B61" s="1" t="s">
        <v>509</v>
      </c>
      <c r="C61" s="1" t="s">
        <v>510</v>
      </c>
      <c r="D61" s="1">
        <f>16.7*(D57*D46*(10^-3))</f>
        <v>30.06</v>
      </c>
      <c r="E61" s="1" t="s">
        <v>452</v>
      </c>
      <c r="F61" s="2">
        <v>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1.5</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360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13</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12</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11" ht="14.25" customHeight="1">
      <c r="B29" s="1" t="s">
        <v>592</v>
      </c>
      <c r="C29" s="1" t="s">
        <v>593</v>
      </c>
      <c r="D29" s="2">
        <v>0.37</v>
      </c>
      <c r="E29" s="1"/>
    </row>
    <row r="30" spans="2:11" ht="14.25" customHeight="1">
      <c r="B30" s="1" t="s">
        <v>594</v>
      </c>
      <c r="C30" s="1" t="s">
        <v>595</v>
      </c>
      <c r="D30" s="2">
        <v>3</v>
      </c>
      <c r="E30" s="1" t="s">
        <v>200</v>
      </c>
    </row>
    <row r="31" spans="2:11" ht="14.25" customHeight="1">
      <c r="B31" s="1" t="s">
        <v>596</v>
      </c>
      <c r="C31" s="1" t="s">
        <v>597</v>
      </c>
      <c r="D31" s="2">
        <v>0.53</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220</v>
      </c>
      <c r="G93" s="125"/>
    </row>
    <row r="94" spans="2:7" ht="14.25" customHeight="1">
      <c r="B94" s="1" t="s">
        <v>666</v>
      </c>
      <c r="C94" s="1" t="s">
        <v>667</v>
      </c>
      <c r="D94" s="49">
        <f>IF(F93,F93,D93)*((D85/D86)-1)</f>
        <v>525.49155297423772</v>
      </c>
      <c r="E94" s="1" t="s">
        <v>200</v>
      </c>
      <c r="F94" s="2">
        <v>2200</v>
      </c>
      <c r="G94" s="125"/>
    </row>
    <row r="95" spans="2:7" ht="14.25" customHeight="1">
      <c r="B95" s="1" t="s">
        <v>668</v>
      </c>
      <c r="C95" s="54" t="s">
        <v>669</v>
      </c>
      <c r="D95" s="55">
        <f>1/(2*PI()*(D86*IF(F94,F94,D94)*(10^-9)))/1000</f>
        <v>45.715337710116671</v>
      </c>
      <c r="E95" s="54" t="s">
        <v>452</v>
      </c>
      <c r="F95" s="2">
        <v>22</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50</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Components'!$C$92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57"/>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