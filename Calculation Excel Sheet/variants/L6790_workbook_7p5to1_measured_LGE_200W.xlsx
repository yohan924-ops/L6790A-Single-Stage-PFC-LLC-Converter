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<sst xmlns="http://schemas.openxmlformats.org/spreadsheetml/2006/main" count="2127" uniqueCount="1232">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</sst>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UPC1008G-LS04-R as typed by LGE (CTR 0.37/0.53 and C.opto 3 nF left at the SFH617A values - the UPC1008 datasheet gives rank 130-260 % at 5 mA, no 150/300 uA data)</t>
        </is>
      </c>
    </row>
    <row r="144">
      <c r="B144" s="8" t="inlineStr">
        <is>
          <t xml:space="preserve">CompensationNet&amp;Check</t>
        </is>
      </c>
      <c r="C144" s="8" t="inlineStr">
        <is>
          <t xml:space="preserve">F93</t>
        </is>
      </c>
      <c r="D144" s="8" t="inlineStr">
        <is>
          <t xml:space="preserve">82</t>
        </is>
      </c>
      <c r="E144" s="8" t="inlineStr">
        <is>
          <t xml:space="preserve">220</t>
        </is>
      </c>
      <c r="F144" s="8" t="inlineStr">
        <is>
          <t xml:space="preserve">C.Fo, nF - C95 220 nF (34 mF output bank)</t>
        </is>
      </c>
    </row>
    <row r="145">
      <c r="B145" s="8" t="inlineStr">
        <is>
          <t xml:space="preserve">CompensationNet&amp;Check</t>
        </is>
      </c>
      <c r="C145" s="8" t="inlineStr">
        <is>
          <t xml:space="preserve">F94</t>
        </is>
      </c>
      <c r="D145" s="8" t="inlineStr">
        <is>
          <t xml:space="preserve">560</t>
        </is>
      </c>
      <c r="E145" s="8" t="inlineStr">
        <is>
          <t xml:space="preserve">2200</t>
        </is>
      </c>
      <c r="F145" s="8" t="inlineStr">
        <is>
          <t xml:space="preserve">C.F, nF - C98 2.2 uF (C99 0.1 uF in parallel)</t>
        </is>
      </c>
    </row>
    <row r="146">
      <c r="B146" s="8" t="inlineStr">
        <is>
          <t xml:space="preserve">CompensationNet&amp;Check</t>
        </is>
      </c>
      <c r="C146" s="8" t="inlineStr">
        <is>
          <t xml:space="preserve">F95</t>
        </is>
      </c>
      <c r="D146" s="8" t="inlineStr">
        <is>
          <t xml:space="preserve">47</t>
        </is>
      </c>
      <c r="E146" s="8" t="inlineStr">
        <is>
          <t xml:space="preserve">22</t>
        </is>
      </c>
      <c r="F146" s="8" t="inlineStr">
        <is>
          <t xml:space="preserve">R.F, kOhm - R187 22 k</t>
        </is>
      </c>
    </row>
    <row r="147">
      <c r="B147" s="8" t="inlineStr">
        <is>
          <t xml:space="preserve">CompensationNet&amp;Check</t>
        </is>
      </c>
      <c r="C147" s="8" t="inlineStr">
        <is>
          <t xml:space="preserve">F96</t>
        </is>
      </c>
      <c r="D147" s="8" t="inlineStr">
        <is>
          <t xml:space="preserve">1.55</t>
        </is>
      </c>
      <c r="E147" s="8" t="inlineStr">
        <is>
          <t xml:space="preserve">1.6</t>
        </is>
      </c>
      <c r="F147" s="8" t="inlineStr">
        <is>
          <t xml:space="preserve">C.fx, nF - 1.5 nF + 100 pF at the FB pin</t>
        </is>
      </c>
    </row>
    <row r="148">
      <c r="B148" s="8" t="inlineStr">
        <is>
          <t xml:space="preserve">CompensationNet&amp;Check</t>
        </is>
      </c>
      <c r="C148" s="8" t="inlineStr">
        <is>
          <t xml:space="preserve">D110</t>
        </is>
      </c>
      <c r="D148" s="8" t="inlineStr">
        <is>
          <t xml:space="preserve">47</t>
        </is>
      </c>
      <c r="E148" s="8" t="inlineStr">
        <is>
          <t xml:space="preserve">50</t>
        </is>
      </c>
      <c r="F148" s="8" t="inlineStr">
        <is>
          <t xml:space="preserve">fl, Hz - line frequency of the test (50 Hz)</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30</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5529</v>
      </c>
      <c r="E46" s="1" t="s">
        <v>194</v>
      </c>
    </row>
    <row r="47" spans="2:5" ht="16.5" customHeight="1">
      <c r="B47" s="1" t="s">
        <v>195</v>
      </c>
      <c r="C47" s="1" t="s">
        <v>196</v>
      </c>
      <c r="D47" s="2">
        <v>270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2200</v>
      </c>
      <c r="G94" s="125"/>
    </row>
    <row r="95" spans="2:7" ht="14.25" customHeight="1">
      <c r="B95" s="1" t="s">
        <v>668</v>
      </c>
      <c r="C95" s="54" t="s">
        <v>669</v>
      </c>
      <c r="D95" s="55">
        <f>1/(2*PI()*(D86*IF(F94,F94,D94)*(10^-9)))/1000</f>
        <v>45.715337710116671</v>
      </c>
      <c r="E95" s="54" t="s">
        <v>452</v>
      </c>
      <c r="F95" s="2">
        <v>22</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