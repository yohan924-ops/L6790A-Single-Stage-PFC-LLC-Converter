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<sst xmlns="http://schemas.openxmlformats.org/spreadsheetml/2006/main" count="2127" uniqueCount="1232">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</sst>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row r="123">
      <c r="B123" s="8" t="inlineStr">
        <is>
          <t xml:space="preserve">Device Setting</t>
        </is>
      </c>
      <c r="C123" s="8" t="inlineStr">
        <is>
          <t xml:space="preserve">F24</t>
        </is>
      </c>
      <c r="D123" s="8" t="inlineStr">
        <is>
          <t xml:space="preserve">11</t>
        </is>
      </c>
      <c r="E123" s="8" t="inlineStr">
        <is>
          <t xml:space="preserve">9.1</t>
        </is>
      </c>
      <c r="F123" s="8" t="inlineStr">
        <is>
          <t xml:space="preserve">R.T, kOhm - as fitted on the bench board (2026-10-14): f.Min 110 kHz, PF 0.98 at 110 Vac/50 Hz; 6.8 kOhm (f.Min 145 kHz) was the value that held 110 Vac 200 W on board 1, where 8.2 and 10 kOhm lost regulation after ~20 s; 11 kOhm (f.Min 92 kHz) failed too. Long-run 200 W check at 9.1 kOhm still open</t>
        </is>
      </c>
    </row>
    <row r="124">
      <c r="B124" s="8" t="inlineStr">
        <is>
          <t xml:space="preserve">Device Setting</t>
        </is>
      </c>
      <c r="C124" s="8" t="inlineStr">
        <is>
          <t xml:space="preserve">F61</t>
        </is>
      </c>
      <c r="D124" s="8" t="inlineStr">
        <is>
          <t xml:space="preserve">30</t>
        </is>
      </c>
      <c r="E124" s="8" t="inlineStr">
        <is>
          <t xml:space="preserve">16</t>
        </is>
      </c>
      <c r="F124" s="8" t="inlineStr">
        <is>
          <t xml:space="preserve">R.BM, kOhm - as fitted on the bench board (2026-10-11)</t>
        </is>
      </c>
    </row>
    <row r="125">
      <c r="B125" s="8" t="inlineStr">
        <is>
          <t xml:space="preserve">Device Setting</t>
        </is>
      </c>
      <c r="C125" s="8" t="inlineStr">
        <is>
          <t xml:space="preserve">F91</t>
        </is>
      </c>
      <c r="D125" s="8" t="inlineStr">
        <is>
          <t xml:space="preserve">220</t>
        </is>
      </c>
      <c r="E125" s="8" t="inlineStr">
        <is>
          <t xml:space="preserve">360</t>
        </is>
      </c>
      <c r="F125" s="8" t="inlineStr">
        <is>
          <t xml:space="preserve">R.ZCD.H, kOhm - as fitted on the bench board (2026-10-11; board 2 ran 540 kOhm until 2026-10-14, where the ZCD peak 1.3 V never reached the 1.36 V start-up end threshold); 20 pF on the ZCD pin. ZCD measured 2.0 V peak at 360 kOhm, so aux/sec is about 1.5, not the 1 this book assumes</t>
        </is>
      </c>
    </row>
    <row r="126">
      <c r="B126" s="8" t="inlineStr">
        <is>
          <t xml:space="preserve">Device Setting</t>
        </is>
      </c>
      <c r="C126" s="8" t="inlineStr">
        <is>
          <t xml:space="preserve">F108</t>
        </is>
      </c>
      <c r="D126" s="8" t="inlineStr">
        <is>
          <t xml:space="preserve">30</t>
        </is>
      </c>
      <c r="E126" s="8" t="inlineStr">
        <is>
          <t xml:space="preserve">13</t>
        </is>
      </c>
      <c r="F126" s="8" t="inlineStr">
        <is>
          <t xml:space="preserve">R.CFG, kOhm - as fitted on the bench board (2026-10-11); below the 15 kOhm of DS Table 6</t>
        </is>
      </c>
    </row>
    <row r="127">
      <c r="B127" s="8" t="inlineStr">
        <is>
          <t xml:space="preserve">Power Components</t>
        </is>
      </c>
      <c r="C127" s="8" t="inlineStr">
        <is>
          <t xml:space="preserve">F7</t>
        </is>
      </c>
      <c r="D127" s="8" t="inlineStr">
        <is>
          <t xml:space="preserve">2200</t>
        </is>
      </c>
      <c r="E127" s="8" t="inlineStr">
        <is>
          <t xml:space="preserve">660</t>
        </is>
      </c>
      <c r="F127" s="8" t="inlineStr">
        <is>
          <t xml:space="preserve">C.in, nF - as fitted on the bench board (2 x 330 nF, 2026-10-12); C.in.min = 3 nF/W x P.in = 617 nF at 200 W</t>
        </is>
      </c>
    </row>
    <row r="128">
      <c r="B128" s="8" t="inlineStr">
        <is>
          <t xml:space="preserve">Power Components</t>
        </is>
      </c>
      <c r="C128" s="8" t="inlineStr">
        <is>
          <t xml:space="preserve">D23</t>
        </is>
      </c>
      <c r="D128" s="8" t="inlineStr">
        <is>
          <t xml:space="preserve">160</t>
        </is>
      </c>
      <c r="E128" s="8" t="inlineStr">
        <is>
          <t xml:space="preserve">5</t>
        </is>
      </c>
      <c r="F128" s="8" t="inlineStr">
        <is>
          <t xml:space="preserve">n.Cout - as fitted on the bench board (5 x 6800 uF, 2026-10-12)</t>
        </is>
      </c>
    </row>
    <row r="129">
      <c r="B129" s="8" t="inlineStr">
        <is>
          <t xml:space="preserve">Power Components</t>
        </is>
      </c>
      <c r="C129" s="8" t="inlineStr">
        <is>
          <t xml:space="preserve">D24</t>
        </is>
      </c>
      <c r="D129" s="8" t="inlineStr">
        <is>
          <t xml:space="preserve">470</t>
        </is>
      </c>
      <c r="E129" s="8" t="inlineStr">
        <is>
          <t xml:space="preserve">6800</t>
        </is>
      </c>
      <c r="F129" s="8" t="inlineStr">
        <is>
          <t xml:space="preserve">Cout.single, uF - as fitted on the bench board (2026-10-12)</t>
        </is>
      </c>
    </row>
    <row r="131">
      <c r="F131" s="8" t="inlineStr">
        <is>
          <t xml:space="preserve">LGE 200 W workbook copy, 2026-10-16: inputs LGE typed into their sheet-protected copy of the old ST tool, ported here and checked against the schematic of the same date (L6790A board, sheet 3 of 3). Not ported: Vin.min 180 Vac (F20 stays the 173.2 Vac morphing formula), Vrect 0.395 V and the STPS30M60S entry (the old tool has no SR option; this book models the TPH3R70APL1 SR of the board with Conf.SR = 2, RD 3.7 mOhm, Vrect 0).</t>
        </is>
      </c>
    </row>
    <row r="132">
      <c r="B132" s="8" t="inlineStr">
        <is>
          <t xml:space="preserve">Design Spec</t>
        </is>
      </c>
      <c r="C132" s="8" t="inlineStr">
        <is>
          <t xml:space="preserve">D29</t>
        </is>
      </c>
      <c r="D132" s="8" t="inlineStr">
        <is>
          <t xml:space="preserve">25</t>
        </is>
      </c>
      <c r="E132" s="8" t="inlineStr">
        <is>
          <t xml:space="preserve">30</t>
        </is>
      </c>
      <c r="F132" s="8" t="inlineStr">
        <is>
          <t xml:space="preserve">h, mm - max output capacitor height (LGE workbook)</t>
        </is>
      </c>
    </row>
    <row r="133">
      <c r="B133" s="8" t="inlineStr">
        <is>
          <t xml:space="preserve">Design Spec</t>
        </is>
      </c>
      <c r="C133" s="8" t="inlineStr">
        <is>
          <t xml:space="preserve">D46</t>
        </is>
      </c>
      <c r="D133" s="8" t="inlineStr">
        <is>
          <t xml:space="preserve">800</t>
        </is>
      </c>
      <c r="E133" s="8" t="inlineStr">
        <is>
          <t xml:space="preserve">5529</t>
        </is>
      </c>
      <c r="F133" s="8" t="inlineStr">
        <is>
          <t xml:space="preserve">c.HB, pF - 2 x Coss(tr) 897 pF x 400 V / 245 V = 2929 pF (l6790 [116]) + 100 pF stray + C115/C117 2.2 nF/2 kV at the midpoint + 2 x 150 pF drain-source (fitted, N.C. on the schematic) = 5529 pF; LGE typed 500 pF, which leaves out the snubbers</t>
        </is>
      </c>
    </row>
    <row r="134">
      <c r="B134" s="8" t="inlineStr">
        <is>
          <t xml:space="preserve">Design Spec</t>
        </is>
      </c>
      <c r="C134" s="8" t="inlineStr">
        <is>
          <t xml:space="preserve">D47</t>
        </is>
      </c>
      <c r="D134" s="8" t="inlineStr">
        <is>
          <t xml:space="preserve">220</t>
        </is>
      </c>
      <c r="E134" s="8" t="inlineStr">
        <is>
          <t xml:space="preserve">270</t>
        </is>
      </c>
      <c r="F134" s="8" t="inlineStr">
        <is>
          <t xml:space="preserve">t.D, ns - dead time as typed by LGE</t>
        </is>
      </c>
    </row>
    <row r="135">
      <c r="B135" s="8" t="inlineStr">
        <is>
          <t xml:space="preserve">Res. Tank Design</t>
        </is>
      </c>
      <c r="C135" s="8" t="inlineStr">
        <is>
          <t xml:space="preserve">F43</t>
        </is>
      </c>
      <c r="D135" s="8" t="inlineStr">
        <is>
          <t xml:space="preserve">100</t>
        </is>
      </c>
      <c r="E135" s="8" t="inlineStr">
        <is>
          <t xml:space="preserve">117</t>
        </is>
      </c>
      <c r="F135" s="8" t="inlineStr">
        <is>
          <t xml:space="preserve">C.r, nF - board 47 nF 630 V X7R 2S x 5P = 117.5 nF (C106..C116)</t>
        </is>
      </c>
    </row>
    <row r="136">
      <c r="B136" s="8" t="inlineStr">
        <is>
          <t xml:space="preserve">Power Components</t>
        </is>
      </c>
      <c r="C136" s="8" t="inlineStr">
        <is>
          <t xml:space="preserve">D38</t>
        </is>
      </c>
      <c r="D136" s="8" t="inlineStr">
        <is>
          <t xml:space="preserve">10</t>
        </is>
      </c>
      <c r="E136" s="8" t="inlineStr">
        <is>
          <t xml:space="preserve">50</t>
        </is>
      </c>
      <c r="F136" s="8" t="inlineStr">
        <is>
          <t xml:space="preserve">Cceramic, uF - 5 x 10 uF/50 V beside the 5 x 6800 uF</t>
        </is>
      </c>
    </row>
    <row r="137">
      <c r="B137" s="8" t="inlineStr">
        <is>
          <t xml:space="preserve">Device Setting</t>
        </is>
      </c>
      <c r="C137" s="8" t="inlineStr">
        <is>
          <t xml:space="preserve">D57</t>
        </is>
      </c>
      <c r="D137" s="8" t="inlineStr">
        <is>
          <t xml:space="preserve">75</t>
        </is>
      </c>
      <c r="E137" s="8" t="inlineStr">
        <is>
          <t xml:space="preserve">0</t>
        </is>
      </c>
      <c r="F137" s="8" t="inlineStr">
        <is>
          <t xml:space="preserve">P.in.BM, W - burst mode not used: BM pin grounded through R211 0 ohm</t>
        </is>
      </c>
    </row>
    <row r="138">
      <c r="B138" s="8" t="inlineStr">
        <is>
          <t xml:space="preserve">Device Setting</t>
        </is>
      </c>
      <c r="C138" s="8" t="inlineStr">
        <is>
          <t xml:space="preserve">F61</t>
        </is>
      </c>
      <c r="D138" s="8" t="inlineStr">
        <is>
          <t xml:space="preserve">16</t>
        </is>
      </c>
      <c r="E138" s="8" t="inlineStr">
        <is>
          <t xml:space="preserve">0</t>
        </is>
      </c>
      <c r="F138" s="8" t="inlineStr">
        <is>
          <t xml:space="preserve">R.BM, kOhm - R211 0 ohm, BM grounded</t>
        </is>
      </c>
    </row>
    <row r="139">
      <c r="B139" s="8" t="inlineStr">
        <is>
          <t xml:space="preserve">Device Setting</t>
        </is>
      </c>
      <c r="C139" s="8" t="inlineStr">
        <is>
          <t xml:space="preserve">F83</t>
        </is>
      </c>
      <c r="D139" s="8" t="inlineStr">
        <is>
          <t xml:space="preserve">1.0</t>
        </is>
      </c>
      <c r="E139" s="8" t="inlineStr">
        <is>
          <t xml:space="preserve">1.5</t>
        </is>
      </c>
      <c r="F139" s="8" t="inlineStr">
        <is>
          <t xml:space="preserve">n.aux/n.sec - aux 3 T (pins 8-7) over the 2 T secondary; matches the ZCD 2.0 V peak measured at 360 k; lower ZCD resistor R208 18 k + R213 1 k = 19 k (F90)</t>
        </is>
      </c>
    </row>
    <row r="140">
      <c r="B140" s="8" t="inlineStr">
        <is>
          <t xml:space="preserve">CompensationNet&amp;Check</t>
        </is>
      </c>
      <c r="C140" s="8" t="inlineStr">
        <is>
          <t xml:space="preserve">C19</t>
        </is>
      </c>
      <c r="D140" s="8" t="inlineStr">
        <is>
          <t xml:space="preserve">TL431AIT</t>
        </is>
      </c>
      <c r="E140" s="8" t="inlineStr">
        <is>
          <t xml:space="preserve">TL431G-AE2-R</t>
        </is>
      </c>
      <c r="F140" s="8" t="inlineStr">
        <is>
          <t xml:space="preserve">TL431 part as on the board (Q44/Q46)</t>
        </is>
      </c>
    </row>
    <row r="141">
      <c r="B141" s="8" t="inlineStr">
        <is>
          <t xml:space="preserve">CompensationNet&amp;Check</t>
        </is>
      </c>
      <c r="C141" s="8" t="inlineStr">
        <is>
          <t xml:space="preserve">D23</t>
        </is>
      </c>
      <c r="D141" s="8" t="inlineStr">
        <is>
          <t xml:space="preserve">0.8</t>
        </is>
      </c>
      <c r="E141" s="8" t="inlineStr">
        <is>
          <t xml:space="preserve">0.5</t>
        </is>
      </c>
      <c r="F141" s="8" t="inlineStr">
        <is>
          <t xml:space="preserve">I.min, mA - TL431G-AE2-R as typed by LGE</t>
        </is>
      </c>
    </row>
    <row r="142">
      <c r="B142" s="8" t="inlineStr">
        <is>
          <t xml:space="preserve">CompensationNet&amp;Check</t>
        </is>
      </c>
      <c r="C142" s="8" t="inlineStr">
        <is>
          <t xml:space="preserve">C25</t>
        </is>
      </c>
      <c r="D142" s="8" t="inlineStr">
        <is>
          <t xml:space="preserve">SFH617A</t>
        </is>
      </c>
      <c r="E142" s="8" t="inlineStr">
        <is>
          <t xml:space="preserve">UPC1008G-LS04-R</t>
        </is>
      </c>
      <c r="F142" s="8" t="inlineStr">
        <is>
          <t xml:space="preserve">optocoupler as on the board (U13)</t>
        </is>
      </c>
    </row>
    <row r="143">
      <c r="B143" s="8" t="inlineStr">
        <is>
          <t xml:space="preserve">CompensationNet&amp;Check</t>
        </is>
      </c>
      <c r="C143" s="8" t="inlineStr">
        <is>
          <t xml:space="preserve">D28</t>
        </is>
      </c>
      <c r="D143" s="8" t="inlineStr">
        <is>
          <t xml:space="preserve">1.15</t>
        </is>
      </c>
      <c r="E143" s="8" t="inlineStr">
        <is>
          <t xml:space="preserve">1.45</t>
        </is>
      </c>
      <c r="F143" s="8" t="inlineStr">
        <is>
          <t xml:space="preserve">V.Fo, V - UPC10XX datasheet typ at I.F 50 mA (max 1.6); no V.F curve in the datasheet, the LED runs at 0.2-0.5 mA where V.F is lower, so the R.B window computed from this is on the low side</t>
        </is>
      </c>
    </row>
    <row r="144">
      <c r="B144" s="8" t="inlineStr">
        <is>
          <t xml:space="preserve">CompensationNet&amp;Check</t>
        </is>
      </c>
      <c r="C144" s="8" t="inlineStr">
        <is>
          <t xml:space="preserve">D29</t>
        </is>
      </c>
      <c r="D144" s="8" t="inlineStr">
        <is>
          <t xml:space="preserve">0.37</t>
        </is>
      </c>
      <c r="E144" s="8" t="inlineStr">
        <is>
          <t xml:space="preserve">0.54</t>
        </is>
      </c>
      <c r="F144" s="8" t="inlineStr">
        <is>
          <t xml:space="preserve">CTR.steady at I.tr 150 uA - UPC1008 Ic-If curve (typ 192 % at 5 mA) scaled to the rank minimum 130 %: I.F 0.28 mA, CTR 0.54 (typ 0.71, rank max 0.86)</t>
        </is>
      </c>
    </row>
    <row r="145">
      <c r="B145" s="8" t="inlineStr">
        <is>
          <t xml:space="preserve">CompensationNet&amp;Check</t>
        </is>
      </c>
      <c r="C145" s="8" t="inlineStr">
        <is>
          <t xml:space="preserve">D31</t>
        </is>
      </c>
      <c r="D145" s="8" t="inlineStr">
        <is>
          <t xml:space="preserve">0.53</t>
        </is>
      </c>
      <c r="E145" s="8" t="inlineStr">
        <is>
          <t xml:space="preserve">0.65</t>
        </is>
      </c>
      <c r="F145" s="8" t="inlineStr">
        <is>
          <t xml:space="preserve">CTR.max at I.tr 300 uA - same curve, rank minimum: I.F 0.46 mA, CTR 0.65 (typ 0.86, rank max 1.07)</t>
        </is>
      </c>
    </row>
    <row r="146">
      <c r="B146" s="8" t="inlineStr">
        <is>
          <t xml:space="preserve">CompensationNet&amp;Check</t>
        </is>
      </c>
      <c r="C146" s="8" t="inlineStr">
        <is>
          <t xml:space="preserve">D14</t>
        </is>
      </c>
      <c r="D146" s="8" t="inlineStr">
        <is>
          <t xml:space="preserve">12</t>
        </is>
      </c>
      <c r="E146" s="8" t="inlineStr">
        <is>
          <t xml:space="preserve">14.5</t>
        </is>
      </c>
      <c r="F146" s="8" t="inlineStr">
        <is>
          <t xml:space="preserve">V.Z, V - 12V_FB rail: BSS169 follower, TL431 Q46 with R197 130 k / R204 27 k -&gt; 14.5 V by the schematic values; the net is named 12V_FB, measure it</t>
        </is>
      </c>
    </row>
    <row r="147">
      <c r="B147" s="8" t="inlineStr">
        <is>
          <t xml:space="preserve">CompensationNet&amp;Check</t>
        </is>
      </c>
      <c r="C147" s="8" t="inlineStr">
        <is>
          <t xml:space="preserve">F93</t>
        </is>
      </c>
      <c r="D147" s="8" t="inlineStr">
        <is>
          <t xml:space="preserve">82</t>
        </is>
      </c>
      <c r="E147" s="8" t="inlineStr">
        <is>
          <t xml:space="preserve">220</t>
        </is>
      </c>
      <c r="F147" s="8" t="inlineStr">
        <is>
          <t xml:space="preserve">C.Fo, nF - C95 220 nF (34 mF output bank)</t>
        </is>
      </c>
    </row>
    <row r="148">
      <c r="B148" s="8" t="inlineStr">
        <is>
          <t xml:space="preserve">CompensationNet&amp;Check</t>
        </is>
      </c>
      <c r="C148" s="8" t="inlineStr">
        <is>
          <t xml:space="preserve">F94</t>
        </is>
      </c>
      <c r="D148" s="8" t="inlineStr">
        <is>
          <t xml:space="preserve">560</t>
        </is>
      </c>
      <c r="E148" s="8" t="inlineStr">
        <is>
          <t xml:space="preserve">2300</t>
        </is>
      </c>
      <c r="F148" s="8" t="inlineStr">
        <is>
          <t xml:space="preserve">C.F, nF - C98 2.2 uF with C99 0.1 uF in parallel</t>
        </is>
      </c>
    </row>
    <row r="149">
      <c r="B149" s="8" t="inlineStr">
        <is>
          <t xml:space="preserve">Power Components</t>
        </is>
      </c>
      <c r="C149" s="8" t="inlineStr">
        <is>
          <t xml:space="preserve">C50</t>
        </is>
      </c>
      <c r="D149" s="8" t="inlineStr">
        <is>
          <t xml:space="preserve">GBJ1506U</t>
        </is>
      </c>
      <c r="E149" s="8" t="inlineStr">
        <is>
          <t xml:space="preserve">GBU1006 x2 (AC pins paired)</t>
        </is>
      </c>
      <c r="F149" s="8" t="inlineStr">
        <is>
          <t xml:space="preserve">bridge label - BD2/BD3 GBU1006, each with its AC pins tied, outputs paralleled; Design Spec D52/D53 diode model left as the ST default</t>
        </is>
      </c>
    </row>
    <row r="150">
      <c r="B150" s="8" t="inlineStr">
        <is>
          <t xml:space="preserve">CompensationNet&amp;Check</t>
        </is>
      </c>
      <c r="C150" s="8" t="inlineStr">
        <is>
          <t xml:space="preserve">F95</t>
        </is>
      </c>
      <c r="D150" s="8" t="inlineStr">
        <is>
          <t xml:space="preserve">47</t>
        </is>
      </c>
      <c r="E150" s="8" t="inlineStr">
        <is>
          <t xml:space="preserve">22</t>
        </is>
      </c>
      <c r="F150" s="8" t="inlineStr">
        <is>
          <t xml:space="preserve">R.F, kOhm - R187 22 k</t>
        </is>
      </c>
    </row>
    <row r="151">
      <c r="B151" s="8" t="inlineStr">
        <is>
          <t xml:space="preserve">CompensationNet&amp;Check</t>
        </is>
      </c>
      <c r="C151" s="8" t="inlineStr">
        <is>
          <t xml:space="preserve">F96</t>
        </is>
      </c>
      <c r="D151" s="8" t="inlineStr">
        <is>
          <t xml:space="preserve">1.55</t>
        </is>
      </c>
      <c r="E151" s="8" t="inlineStr">
        <is>
          <t xml:space="preserve">1.6</t>
        </is>
      </c>
      <c r="F151" s="8" t="inlineStr">
        <is>
          <t xml:space="preserve">C.fx, nF - 1.5 nF + 100 pF at the FB pin</t>
        </is>
      </c>
    </row>
    <row r="152">
      <c r="B152" s="8" t="inlineStr">
        <is>
          <t xml:space="preserve">CompensationNet&amp;Check</t>
        </is>
      </c>
      <c r="C152" s="8" t="inlineStr">
        <is>
          <t xml:space="preserve">D110</t>
        </is>
      </c>
      <c r="D152" s="8" t="inlineStr">
        <is>
          <t xml:space="preserve">47</t>
        </is>
      </c>
      <c r="E152" s="8" t="inlineStr">
        <is>
          <t xml:space="preserve">50</t>
        </is>
      </c>
      <c r="F152" s="8" t="inlineStr">
        <is>
          <t xml:space="preserve">fl, Hz - line frequency of the test (50 Hz)</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5" ht="16.5" customHeight="1">
      <c r="B29" s="1" t="s">
        <v>164</v>
      </c>
      <c r="C29" s="1" t="s">
        <v>165</v>
      </c>
      <c r="D29" s="2">
        <v>30</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5529</v>
      </c>
      <c r="E46" s="1" t="s">
        <v>194</v>
      </c>
    </row>
    <row r="47" spans="2:5" ht="16.5" customHeight="1">
      <c r="B47" s="1" t="s">
        <v>195</v>
      </c>
      <c r="C47" s="1" t="s">
        <v>196</v>
      </c>
      <c r="D47" s="2">
        <v>270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117</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660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5</v>
      </c>
      <c r="E23" s="1" t="s">
        <v>181</v>
      </c>
    </row>
    <row r="24" spans="2:5" ht="14.25" customHeight="1">
      <c r="B24" s="1" t="s">
        <v>369</v>
      </c>
      <c r="C24" s="1" t="s">
        <v>370</v>
      </c>
      <c r="D24" s="2">
        <v>6800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50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inlineStr">
        <is>
          <t xml:space="preserve">GBU1006 x2 (AC pins paired)</t>
        </is>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1.8</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s">
        <v>1202</v>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14" ht="15" customHeight="1">
      <c r="B96" s="1" t="s">
        <v>1219</v>
      </c>
      <c r="C96" s="1" t="s">
        <v>433</v>
      </c>
      <c r="D96" s="2">
        <v>3.7000000000000002E-3</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9.1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5" ht="16.5" customHeight="1">
      <c r="B57" s="1" t="s">
        <v>505</v>
      </c>
      <c r="C57" s="1" t="s">
        <v>506</v>
      </c>
      <c r="D57" s="2">
        <v>0</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6" ht="16.5" customHeight="1">
      <c r="B61" s="1" t="s">
        <v>509</v>
      </c>
      <c r="C61" s="1" t="s">
        <v>510</v>
      </c>
      <c r="D61" s="1">
        <f>16.7*(D57*D46*(10^-3))</f>
        <v>30.06</v>
      </c>
      <c r="E61" s="1" t="s">
        <v>452</v>
      </c>
      <c r="F61" s="2">
        <v>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1.5</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360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13</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14.5</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220</v>
      </c>
      <c r="G93" s="125"/>
    </row>
    <row r="94" spans="2:7" ht="14.25" customHeight="1">
      <c r="B94" s="1" t="s">
        <v>666</v>
      </c>
      <c r="C94" s="1" t="s">
        <v>667</v>
      </c>
      <c r="D94" s="49">
        <f>IF(F93,F93,D93)*((D85/D86)-1)</f>
        <v>525.49155297423772</v>
      </c>
      <c r="E94" s="1" t="s">
        <v>200</v>
      </c>
      <c r="F94" s="2">
        <v>2300</v>
      </c>
      <c r="G94" s="125"/>
    </row>
    <row r="95" spans="2:7" ht="14.25" customHeight="1">
      <c r="B95" s="1" t="s">
        <v>668</v>
      </c>
      <c r="C95" s="54" t="s">
        <v>669</v>
      </c>
      <c r="D95" s="55">
        <f>1/(2*PI()*(D86*IF(F94,F94,D94)*(10^-9)))/1000</f>
        <v>45.715337710116671</v>
      </c>
      <c r="E95" s="54" t="s">
        <v>452</v>
      </c>
      <c r="F95" s="2">
        <v>22</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50</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