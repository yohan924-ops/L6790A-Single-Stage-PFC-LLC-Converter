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<sst xmlns="http://schemas.openxmlformats.org/spreadsheetml/2006/main" count="2127" uniqueCount="1232">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</sst>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161</xdr:row>
      <xdr:rowOff>171360</xdr:rowOff>
    </xdr:from>
    <xdr:to>
      <xdr:col>1</xdr:col>
      <xdr:colOff>2876760</xdr:colOff>
      <xdr:row>175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161</xdr:row>
      <xdr:rowOff>56160</xdr:rowOff>
    </xdr:from>
    <xdr:to>
      <xdr:col>4</xdr:col>
      <xdr:colOff>303840</xdr:colOff>
      <xdr:row>175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88-137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138-176; CHANGELOG entries above this line name the old rows. Res. Tank Design 81-87: start-up I.su, k.su.OCP2, k.su.OCP1, f.su.OCP1. CC 77-139: the working (gate_budget.py model).</t>
        </is>
      </c>
    </row>
    <row r="182">
      <c r="B182" s="8" t="inlineStr">
        <is>
          <t xml:space="preserve">Power Components</t>
        </is>
      </c>
      <c r="C182" s="8" t="inlineStr">
        <is>
          <t xml:space="preserve">B76:E82</t>
        </is>
      </c>
      <c r="F182" s="8" t="inlineStr">
        <is>
          <t xml:space="preserve">switch gate data (yellow)</t>
        </is>
      </c>
    </row>
    <row r="183">
      <c r="B183" s="8" t="inlineStr">
        <is>
          <t xml:space="preserve">Power Components</t>
        </is>
      </c>
      <c r="C183" s="8" t="inlineStr">
        <is>
          <t xml:space="preserve">B88:G137</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B77:D139</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CC!$C$85</f>
      </c>
      <c r="E105" s="26" t="inlineStr">
        <is>
          <t xml:space="preserve">V</t>
        </is>
      </c>
    </row>
    <row r="106">
      <c r="B106" s="1" t="inlineStr">
        <is>
          <t xml:space="preserve">Minimum gate drive voltage (10 V at the high-side gate)</t>
        </is>
      </c>
      <c r="C106" s="1" t="inlineStr">
        <is>
          <t xml:space="preserve">V.drv.min</t>
        </is>
      </c>
      <c r="D106" s="49">
        <f>CC!$C$84</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14.35</v>
      </c>
    </row>
    <row r="108">
      <c r="B108" s="1" t="inlineStr">
        <is>
          <t xml:space="preserve">Maximum turn-on resistor (gate at 10 V within the start-up pulse)</t>
        </is>
      </c>
      <c r="C108" s="1" t="inlineStr">
        <is>
          <t xml:space="preserve">R.on.max</t>
        </is>
      </c>
      <c r="D108" s="49">
        <f>CC!$C$105</f>
      </c>
      <c r="E108" s="26" t="inlineStr">
        <is>
          <t xml:space="preserve">Ω</t>
        </is>
      </c>
    </row>
    <row r="109">
      <c r="B109" s="1" t="inlineStr">
        <is>
          <t xml:space="preserve">Minimum turn-on resistor (driver temperature)</t>
        </is>
      </c>
      <c r="C109" s="1" t="inlineStr">
        <is>
          <t xml:space="preserve">R.on.min</t>
        </is>
      </c>
      <c r="D109" s="49">
        <f>CC!$C$104</f>
      </c>
      <c r="E109" s="26" t="inlineStr">
        <is>
          <t xml:space="preserve">Ω</t>
        </is>
      </c>
    </row>
    <row r="110">
      <c r="B110" s="1" t="inlineStr">
        <is>
          <t xml:space="preserve">Select R.on between R.on.min and R.on.max (Value: E12)</t>
        </is>
      </c>
      <c r="C110" s="1" t="inlineStr">
        <is>
          <t xml:space="preserve">R.on</t>
        </is>
      </c>
      <c r="D110" s="49">
        <f>CC!$C$106</f>
      </c>
      <c r="E110" s="26" t="inlineStr">
        <is>
          <t xml:space="preserve">Ω</t>
        </is>
      </c>
      <c r="F110" s="2">
        <v>4.7</v>
      </c>
    </row>
    <row r="111">
      <c r="B111" s="1" t="inlineStr">
        <is>
          <t xml:space="preserve">Maximum turn-off path resistance (off before the swing ends and the other side is on)</t>
        </is>
      </c>
      <c r="C111" s="1" t="inlineStr">
        <is>
          <t xml:space="preserve">R.off.eff.max</t>
        </is>
      </c>
      <c r="D111" s="49">
        <f>CC!$C$125</f>
      </c>
      <c r="E111" s="26" t="inlineStr">
        <is>
          <t xml:space="preserve">Ω</t>
        </is>
      </c>
    </row>
    <row r="112">
      <c r="B112" s="1" t="inlineStr">
        <is>
          <t xml:space="preserve">Turn-off: D.off forward voltage (0 = separate GOFF pin, no D.off)</t>
        </is>
      </c>
      <c r="C112" s="1" t="inlineStr">
        <is>
          <t xml:space="preserve">V.F</t>
        </is>
      </c>
      <c r="D112" s="49"/>
      <c r="E112" s="26" t="inlineStr">
        <is>
          <t xml:space="preserve">V</t>
        </is>
      </c>
      <c r="F112" s="2">
        <v>0.7</v>
      </c>
    </row>
    <row r="113">
      <c r="B113" s="1" t="inlineStr">
        <is>
          <t xml:space="preserve">Select R.off: with D.off || R.on, or alone on GOFF (Value: E12)</t>
        </is>
      </c>
      <c r="C113" s="1" t="inlineStr">
        <is>
          <t xml:space="preserve">R.off</t>
        </is>
      </c>
      <c r="D113" s="49">
        <f>CC!$C$127</f>
      </c>
      <c r="E113" s="26" t="inlineStr">
        <is>
          <t xml:space="preserve">Ω</t>
        </is>
      </c>
      <c r="F113" s="2">
        <v>2.2</v>
      </c>
    </row>
    <row r="114">
      <c r="B114" s="1" t="inlineStr">
        <is>
          <t xml:space="preserve">Minimum gate-source capacitor (0 = none needed)</t>
        </is>
      </c>
      <c r="C114" s="1" t="inlineStr">
        <is>
          <t xml:space="preserve">C.gs.min</t>
        </is>
      </c>
      <c r="D114" s="49">
        <f>CC!$C$113</f>
      </c>
      <c r="E114" s="26" t="inlineStr">
        <is>
          <t xml:space="preserve">nF</t>
        </is>
      </c>
    </row>
    <row r="115">
      <c r="B115" s="1" t="inlineStr">
        <is>
          <t xml:space="preserve">Select C.gs (Value: E6)</t>
        </is>
      </c>
      <c r="C115" s="1" t="inlineStr">
        <is>
          <t xml:space="preserve">C.gs</t>
        </is>
      </c>
      <c r="D115" s="49">
        <f>CC!$C$114</f>
      </c>
      <c r="E115" s="26" t="inlineStr">
        <is>
          <t xml:space="preserve">nF</t>
        </is>
      </c>
      <c r="F115" s="2">
        <v>0</v>
      </c>
    </row>
    <row r="116">
      <c r="B116" s="1" t="inlineStr">
        <is>
          <t xml:space="preserve">Maximum bootstrap capacitor (first LOUT pulse charges it to V.bo.min)</t>
        </is>
      </c>
      <c r="C116" s="1" t="inlineStr">
        <is>
          <t xml:space="preserve">C.boot.max</t>
        </is>
      </c>
      <c r="D116" s="49">
        <f>CC!$C$129</f>
      </c>
      <c r="E116" s="26" t="inlineStr">
        <is>
          <t xml:space="preserve">nF</t>
        </is>
      </c>
    </row>
    <row r="117">
      <c r="B117" s="1" t="inlineStr">
        <is>
          <t xml:space="preserve">Minimum bootstrap capacitor (10 x gate capacitance)</t>
        </is>
      </c>
      <c r="C117" s="1" t="inlineStr">
        <is>
          <t xml:space="preserve">C.boot.min</t>
        </is>
      </c>
      <c r="D117" s="49">
        <f>CC!$C$128</f>
      </c>
      <c r="E117" s="26" t="inlineStr">
        <is>
          <t xml:space="preserve">nF</t>
        </is>
      </c>
    </row>
    <row r="118">
      <c r="B118" s="1" t="inlineStr">
        <is>
          <t xml:space="preserve">Select C.boot between C.boot.min and C.boot.max (Value: E6)</t>
        </is>
      </c>
      <c r="C118" s="1" t="inlineStr">
        <is>
          <t xml:space="preserve">C.boot</t>
        </is>
      </c>
      <c r="D118" s="49">
        <f>CC!$C$130</f>
      </c>
      <c r="E118" s="26" t="inlineStr">
        <is>
          <t xml:space="preserve">nF</t>
        </is>
      </c>
      <c r="F118" s="2">
        <v>470</v>
      </c>
    </row>
    <row r="119">
      <c r="B119" s="1" t="inlineStr">
        <is>
          <t xml:space="preserve">Maximum bootstrap resistor (first LOUT pulse charges C.boot to V.bo.min)</t>
        </is>
      </c>
      <c r="C119" s="1" t="inlineStr">
        <is>
          <t xml:space="preserve">R.boot.max</t>
        </is>
      </c>
      <c r="D119" s="49">
        <f>CC!$C$132</f>
      </c>
      <c r="E119" s="26" t="inlineStr">
        <is>
          <t xml:space="preserve">Ω</t>
        </is>
      </c>
    </row>
    <row r="120">
      <c r="B120" s="1" t="inlineStr">
        <is>
          <t xml:space="preserve">Select R.boot, 0 = diode alone (Value: E12)</t>
        </is>
      </c>
      <c r="C120" s="1" t="inlineStr">
        <is>
          <t xml:space="preserve">R.boot</t>
        </is>
      </c>
      <c r="D120" s="49">
        <f>CC!$C$133</f>
      </c>
      <c r="E120" s="26" t="inlineStr">
        <is>
          <t xml:space="preserve">Ω</t>
        </is>
      </c>
      <c r="F120" s="2">
        <v>0</v>
      </c>
    </row>
    <row r="121">
      <c r="B121" s="1" t="inlineStr">
        <is>
          <t xml:space="preserve">D.boot forward voltage</t>
        </is>
      </c>
      <c r="C121" s="1" t="inlineStr">
        <is>
          <t xml:space="preserve">V.F.boot</t>
        </is>
      </c>
      <c r="D121" s="49"/>
      <c r="E121" s="26" t="inlineStr">
        <is>
          <t xml:space="preserve">V</t>
        </is>
      </c>
      <c r="F121" s="2">
        <v>1.3</v>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Turn-off path resistance (&lt;= R.off.eff.max)</t>
        </is>
      </c>
      <c r="C123" s="1" t="inlineStr">
        <is>
          <t xml:space="preserve">R.off.eff</t>
        </is>
      </c>
      <c r="D123" s="49">
        <f>CC!$C$88</f>
      </c>
      <c r="E123" s="26" t="inlineStr">
        <is>
          <t xml:space="preserve">Ω</t>
        </is>
      </c>
      <c r="F123" s="1">
        <f>IF(D123&lt;=D111,"OK","CHECK")</f>
      </c>
    </row>
    <row r="124">
      <c r="B124" s="1" t="inlineStr">
        <is>
          <t xml:space="preserve">Dead time needed in run (IC ADT 40-420 ns, or the driver t.DT)</t>
        </is>
      </c>
      <c r="C124" s="1" t="inlineStr">
        <is>
          <t xml:space="preserve">t.D.need</t>
        </is>
      </c>
      <c r="D124" s="49">
        <f>CC!$C$119</f>
      </c>
      <c r="E124" s="26" t="inlineStr">
        <is>
          <t xml:space="preserve">ns</t>
        </is>
      </c>
    </row>
    <row r="125">
      <c r="B125" s="1" t="inlineStr">
        <is>
          <t xml:space="preserve">Dead time allowed in run (gate on before the current reverses)</t>
        </is>
      </c>
      <c r="C125" s="1" t="inlineStr">
        <is>
          <t xml:space="preserve">t.D.max</t>
        </is>
      </c>
      <c r="D125" s="49">
        <f>CC!$C$120</f>
      </c>
      <c r="E125" s="26" t="inlineStr">
        <is>
          <t xml:space="preserve">ns</t>
        </is>
      </c>
    </row>
    <row r="126">
      <c r="B126" s="1" t="inlineStr">
        <is>
          <t xml:space="preserve">Dead time margin, need vs. IC / driver and vs. t.D.max (&gt;1)</t>
        </is>
      </c>
      <c r="C126" s="1" t="inlineStr">
        <is>
          <t xml:space="preserve">k.tD</t>
        </is>
      </c>
      <c r="D126" s="49">
        <f>CC!$C$121</f>
      </c>
      <c r="E126" s="26" t="inlineStr">
        <is>
          <t xml:space="preserve">-</t>
        </is>
      </c>
      <c r="F126" s="1">
        <f>IF(D126&gt;=1,"OK","CHECK")</f>
      </c>
    </row>
    <row r="127">
      <c r="B127" s="1" t="inlineStr">
        <is>
          <t xml:space="preserve">Gate voltage at the end of the start-up pulse (&gt;= 10 V)</t>
        </is>
      </c>
      <c r="C127" s="1" t="inlineStr">
        <is>
          <t xml:space="preserve">V.g.su</t>
        </is>
      </c>
      <c r="D127" s="49">
        <f>CC!$C$94</f>
      </c>
      <c r="E127" s="26" t="inlineStr">
        <is>
          <t xml:space="preserve">V</t>
        </is>
      </c>
      <c r="F127" s="1">
        <f>IF(D127&gt;=10,"OK","CHECK")</f>
      </c>
    </row>
    <row r="128">
      <c r="B128" s="1" t="inlineStr">
        <is>
          <t xml:space="preserve">V.BS after the first LOUT pulse (&gt;= V.bo.min)</t>
        </is>
      </c>
      <c r="C128" s="1" t="inlineStr">
        <is>
          <t xml:space="preserve">V.bs.1</t>
        </is>
      </c>
      <c r="D128" s="49">
        <f>CC!$C$134</f>
      </c>
      <c r="E128" s="26" t="inlineStr">
        <is>
          <t xml:space="preserve">V</t>
        </is>
      </c>
      <c r="F128" s="1">
        <f>IF(D128&gt;=D103,"OK","CHECK")</f>
      </c>
    </row>
    <row r="129">
      <c r="B129" s="1" t="inlineStr">
        <is>
          <t xml:space="preserve">V.BS lowest, steady at f.SU</t>
        </is>
      </c>
      <c r="C129" s="1" t="inlineStr">
        <is>
          <t xml:space="preserve">V.bs.min</t>
        </is>
      </c>
      <c r="D129" s="49">
        <f>CC!$C$136</f>
      </c>
      <c r="E129" s="26" t="inlineStr">
        <is>
          <t xml:space="preserve">V</t>
        </is>
      </c>
    </row>
    <row r="130">
      <c r="B130" s="1" t="inlineStr">
        <is>
          <t xml:space="preserve">Gate-off margin against the Miller kick (&gt;1)</t>
        </is>
      </c>
      <c r="C130" s="1" t="inlineStr">
        <is>
          <t xml:space="preserve">k.Miller</t>
        </is>
      </c>
      <c r="D130" s="49">
        <f>CC!$C$112</f>
      </c>
      <c r="E130" s="26" t="inlineStr">
        <is>
          <t xml:space="preserve">-</t>
        </is>
      </c>
      <c r="F130" s="1">
        <f>IF(D130&gt;=1,"OK","CHECK")</f>
      </c>
    </row>
    <row r="131">
      <c r="B131" s="1" t="inlineStr">
        <is>
          <t xml:space="preserve">Maximum driver dissipation at Ta (D73): (Tj.max - Ta) / Rth</t>
        </is>
      </c>
      <c r="C131" s="1" t="inlineStr">
        <is>
          <t xml:space="preserve">P.drv.max</t>
        </is>
      </c>
      <c r="D131" s="49">
        <f>CC!$C$101</f>
      </c>
      <c r="E131" s="26" t="inlineStr">
        <is>
          <t xml:space="preserve">W</t>
        </is>
      </c>
    </row>
    <row r="132">
      <c r="B132" s="1" t="inlineStr">
        <is>
          <t xml:space="preserve">Driver dissipation at f.Max, both sides (&lt;= P.drv.max)</t>
        </is>
      </c>
      <c r="C132" s="1" t="inlineStr">
        <is>
          <t xml:space="preserve">P.drv</t>
        </is>
      </c>
      <c r="D132" s="49">
        <f>CC!$C$100</f>
      </c>
      <c r="E132" s="26" t="inlineStr">
        <is>
          <t xml:space="preserve">W</t>
        </is>
      </c>
      <c r="F132" s="1">
        <f>IF(D132&lt;=D131,"OK","CHECK")</f>
      </c>
    </row>
    <row r="133">
      <c r="B133" s="1" t="inlineStr">
        <is>
          <t xml:space="preserve">Driver junction temperature at f.Max and Ta</t>
        </is>
      </c>
      <c r="C133" s="1" t="inlineStr">
        <is>
          <t xml:space="preserve">Tj.drv</t>
        </is>
      </c>
      <c r="D133" s="49">
        <f>CC!$C$139</f>
      </c>
      <c r="E133" s="26" t="inlineStr">
        <is>
          <t xml:space="preserve">˚C</t>
        </is>
      </c>
    </row>
    <row r="134">
      <c r="B134" s="1" t="inlineStr">
        <is>
          <t xml:space="preserve">Start-up frequency f.SU (&lt;= driver f.max and L6790A 675 kHz)</t>
        </is>
      </c>
      <c r="C134" s="1" t="inlineStr">
        <is>
          <t xml:space="preserve">f.SU</t>
        </is>
      </c>
      <c r="D134" s="49">
        <f>'Device Setting'!$D$29</f>
      </c>
      <c r="E134" s="26" t="inlineStr">
        <is>
          <t xml:space="preserve">kHz</t>
        </is>
      </c>
      <c r="F134" s="1">
        <f>IF(D134&lt;=MIN(D99,CC!$C$79),"OK","CHECK")</f>
      </c>
    </row>
    <row r="135">
      <c r="B135" s="1" t="inlineStr">
        <is>
          <t xml:space="preserve">R.on dissipation at f.Max (package rating &gt;= 2x)</t>
        </is>
      </c>
      <c r="C135" s="1" t="inlineStr">
        <is>
          <t xml:space="preserve">P.Ron</t>
        </is>
      </c>
      <c r="D135" s="49">
        <f>CC!$C$137</f>
      </c>
      <c r="E135" s="26" t="inlineStr">
        <is>
          <t xml:space="preserve">W</t>
        </is>
      </c>
    </row>
    <row r="136">
      <c r="B136" s="1" t="inlineStr">
        <is>
          <t xml:space="preserve">R.off dissipation at f.Max (package rating &gt;= 2x)</t>
        </is>
      </c>
      <c r="C136" s="1" t="inlineStr">
        <is>
          <t xml:space="preserve">P.Roff</t>
        </is>
      </c>
      <c r="D136" s="49">
        <f>CC!$C$138</f>
      </c>
      <c r="E136" s="26" t="inlineStr">
        <is>
          <t xml:space="preserve">W</t>
        </is>
      </c>
    </row>
    <row r="137"/>
    <row r="138" spans="2:14" ht="18" customHeight="1">
      <c r="B13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8" s="19"/>
      <c r="F138" s="76"/>
      <c r="G138" s="76"/>
      <c r="H138" s="76"/>
      <c r="I138" s="76"/>
      <c r="J138" s="76"/>
      <c r="K138" s="76"/>
      <c r="L138" s="76"/>
      <c r="M138" s="76"/>
      <c r="N138" s="76"/>
    </row>
    <row r="139" spans="2:14" ht="14.25" customHeight="1">
      <c r="B139" s="1"/>
      <c r="C139" s="1"/>
      <c r="D139" s="77"/>
      <c r="E139" s="1"/>
      <c r="F139" s="76"/>
      <c r="G139" s="76"/>
      <c r="H139" s="76"/>
      <c r="I139" s="76"/>
      <c r="J139" s="76"/>
      <c r="K139" s="76"/>
      <c r="L139" s="76"/>
      <c r="M139" s="76"/>
      <c r="N139" s="76"/>
    </row>
    <row r="140" spans="2:14" ht="15.75" customHeight="1">
      <c r="B140" s="20" t="s">
        <v>356</v>
      </c>
      <c r="C140" s="20" t="s">
        <v>132</v>
      </c>
      <c r="D140" s="20" t="s">
        <v>133</v>
      </c>
      <c r="E140" s="20" t="s">
        <v>431</v>
      </c>
      <c r="F140" s="76"/>
      <c r="G140" s="76"/>
      <c r="H140" s="76"/>
      <c r="I140" s="76"/>
      <c r="J140" s="76"/>
      <c r="K140" s="76"/>
      <c r="L140" s="76"/>
      <c r="M140" s="76"/>
      <c r="N140" s="76"/>
    </row>
    <row r="141" spans="2:14" ht="15" customHeight="1">
      <c r="B141" s="1" t="s">
        <v>1086</v>
      </c>
      <c r="C141" s="1" t="s">
        <v>1187</v>
      </c>
      <c r="D141" s="49">
        <f>CC!J25</f>
        <v>28.329125161562832</v>
      </c>
      <c r="E141" s="1" t="s">
        <v>237</v>
      </c>
      <c r="F141" s="65"/>
      <c r="G141" s="76"/>
      <c r="H141" s="76"/>
      <c r="I141" s="76"/>
      <c r="J141" s="76"/>
      <c r="K141" s="76"/>
      <c r="L141" s="76"/>
      <c r="M141" s="76"/>
      <c r="N141" s="76"/>
    </row>
    <row r="142" spans="2:14" ht="15" customHeight="1">
      <c r="B142" s="1" t="s">
        <v>1087</v>
      </c>
      <c r="C142" s="1" t="s">
        <v>1188</v>
      </c>
      <c r="D142" s="49">
        <f>CC!J26</f>
        <v>28.329125161562832</v>
      </c>
      <c r="E142" s="1" t="s">
        <v>237</v>
      </c>
      <c r="F142" s="65"/>
      <c r="G142" s="76"/>
      <c r="H142" s="76"/>
      <c r="I142" s="76"/>
      <c r="J142" s="76"/>
      <c r="K142" s="76"/>
      <c r="L142" s="76"/>
      <c r="M142" s="76"/>
      <c r="N142" s="76"/>
    </row>
    <row r="143" spans="2:14" ht="15" customHeight="1">
      <c r="B143" s="1" t="s">
        <v>1088</v>
      </c>
      <c r="C143" s="1" t="s">
        <v>432</v>
      </c>
      <c r="D143" s="49">
        <f>CC!E24</f>
        <v>98.617963506893403</v>
      </c>
      <c r="E143" s="1" t="s">
        <v>237</v>
      </c>
      <c r="F143" s="76"/>
      <c r="G143" s="76"/>
      <c r="H143" s="76"/>
      <c r="I143" s="76"/>
      <c r="J143" s="76"/>
      <c r="K143" s="76"/>
      <c r="L143" s="76"/>
      <c r="M143" s="76"/>
      <c r="N143" s="76"/>
    </row>
    <row r="144" spans="2:14" ht="15" customHeight="1">
      <c r="B144" s="1" t="s">
        <v>1089</v>
      </c>
      <c r="C144" s="1" t="s">
        <v>1090</v>
      </c>
      <c r="D144" s="49">
        <f>IF(ISNUMBER(F142),F142,D142)/D160</f>
        <v>14.164562580781416</v>
      </c>
      <c r="E144" s="1" t="s">
        <v>237</v>
      </c>
      <c r="F144" s="76"/>
      <c r="G144" s="76"/>
      <c r="H144" s="76"/>
      <c r="I144" s="76"/>
      <c r="J144" s="76"/>
      <c r="K144" s="76"/>
      <c r="L144" s="76"/>
      <c r="M144" s="76"/>
      <c r="N144" s="76"/>
    </row>
    <row r="145" spans="2:14" ht="15" customHeight="1">
      <c r="B145" s="20" t="s">
        <v>356</v>
      </c>
      <c r="C145" s="20" t="s">
        <v>132</v>
      </c>
      <c r="D145" s="20" t="s">
        <v>133</v>
      </c>
      <c r="E145" s="20" t="s">
        <v>431</v>
      </c>
      <c r="F145" s="76"/>
      <c r="G145" s="76"/>
      <c r="H145" s="76"/>
      <c r="I145" s="76"/>
      <c r="J145" s="76"/>
      <c r="K145" s="76"/>
      <c r="L145" s="76"/>
      <c r="M145" s="76"/>
      <c r="N145" s="76"/>
    </row>
    <row r="146" spans="2:14" ht="15" customHeight="1">
      <c r="B146" s="1" t="s">
        <v>1091</v>
      </c>
      <c r="C146" s="1" t="s">
        <v>415</v>
      </c>
      <c r="D146" s="49">
        <f>1.2*2*'Design Spec'!$D$95/'Design Spec'!$D$107</f>
        <v>60</v>
      </c>
      <c r="E146" s="1" t="s">
        <v>150</v>
      </c>
      <c r="F146" s="76"/>
      <c r="G146" s="76"/>
      <c r="H146" s="76"/>
      <c r="I146" s="76"/>
      <c r="J146" s="76"/>
      <c r="K146" s="76"/>
      <c r="L146" s="76"/>
      <c r="M146" s="76"/>
      <c r="N146" s="76"/>
    </row>
    <row r="147" spans="2:14" ht="14.25" customHeight="1">
      <c r="B147" s="1" t="s">
        <v>1092</v>
      </c>
      <c r="C147" s="1" t="s">
        <v>416</v>
      </c>
      <c r="D147" s="49">
        <f>1.2*D143</f>
        <v>118.34155620827208</v>
      </c>
      <c r="E147" s="1" t="s">
        <v>237</v>
      </c>
      <c r="F147" s="76"/>
      <c r="G147" s="76"/>
      <c r="H147" s="76"/>
      <c r="I147" s="76"/>
      <c r="J147" s="76"/>
      <c r="K147" s="76"/>
      <c r="L147" s="76"/>
      <c r="M147" s="76"/>
      <c r="N147" s="76"/>
    </row>
    <row r="148" spans="2:14" ht="14.25" customHeight="1">
      <c r="B148" s="1" t="s">
        <v>1093</v>
      </c>
      <c r="C148" s="1" t="s">
        <v>1094</v>
      </c>
      <c r="D148" s="49">
        <f>D143/D160</f>
        <v>49.308981753446702</v>
      </c>
      <c r="E148" s="1" t="s">
        <v>237</v>
      </c>
      <c r="F148" s="76"/>
      <c r="G148" s="76"/>
      <c r="H148" s="76"/>
      <c r="I148" s="76"/>
      <c r="J148" s="76"/>
      <c r="K148" s="76"/>
      <c r="L148" s="76"/>
      <c r="M148" s="76"/>
      <c r="N148" s="76"/>
    </row>
    <row r="149" spans="2:14" ht="15.75" customHeight="1">
      <c r="B149" s="20" t="s">
        <v>417</v>
      </c>
      <c r="C149" s="202" t="inlineStr">
        <is>
          <t xml:space="preserve">TPH3R70APL1</t>
        </is>
      </c>
      <c r="D149" s="202"/>
      <c r="E149" s="202"/>
      <c r="F149" s="76"/>
      <c r="G149" s="76"/>
      <c r="H149" s="76"/>
      <c r="I149" s="76"/>
      <c r="J149" s="76"/>
      <c r="K149" s="76"/>
      <c r="L149" s="76"/>
      <c r="M149" s="76"/>
      <c r="N149" s="76"/>
    </row>
    <row r="150" spans="2:14" ht="14.25" customHeight="1">
      <c r="B150" s="1" t="s">
        <v>1095</v>
      </c>
      <c r="C150" s="1" t="s">
        <v>1096</v>
      </c>
      <c r="D150" s="2">
        <v>2</v>
      </c>
      <c r="E150" s="26" t="s">
        <v>181</v>
      </c>
      <c r="F150" s="76"/>
    </row>
    <row r="151" spans="2:14" ht="15.75" customHeight="1">
      <c r="B151" s="20" t="s">
        <v>356</v>
      </c>
      <c r="C151" s="20" t="s">
        <v>132</v>
      </c>
      <c r="D151" s="20" t="s">
        <v>133</v>
      </c>
      <c r="E151" s="20" t="s">
        <v>134</v>
      </c>
    </row>
    <row r="152" spans="2:14" ht="14.25" customHeight="1">
      <c r="B152" s="1" t="s">
        <v>1097</v>
      </c>
      <c r="C152" s="1" t="s">
        <v>403</v>
      </c>
      <c r="D152" s="2">
        <v>0</v>
      </c>
      <c r="E152" s="1" t="s">
        <v>150</v>
      </c>
    </row>
    <row r="153" spans="2:5" ht="15" customHeight="1">
      <c r="B153" s="1" t="s">
        <v>1219</v>
      </c>
      <c r="C153" s="1" t="s">
        <v>433</v>
      </c>
      <c r="D153" s="2">
        <v>0.0037</v>
      </c>
      <c r="E153" s="26" t="s">
        <v>175</v>
      </c>
    </row>
    <row r="154" spans="2:5" ht="15" customHeight="1">
      <c r="B154" s="1" t="s">
        <v>423</v>
      </c>
      <c r="C154" s="1" t="s">
        <v>424</v>
      </c>
      <c r="D154" s="2">
        <v>25</v>
      </c>
      <c r="E154" s="26" t="s">
        <v>425</v>
      </c>
    </row>
    <row r="155" spans="2:5" ht="15">
      <c r="B155" s="1" t="s">
        <v>1217</v>
      </c>
      <c r="C155" s="1" t="s">
        <v>1098</v>
      </c>
      <c r="D155" s="2">
        <v>1.9</v>
      </c>
      <c r="E155" s="26" t="s">
        <v>181</v>
      </c>
    </row>
    <row r="156" spans="2:5" ht="15.75" customHeight="1">
      <c r="B156" s="20" t="s">
        <v>356</v>
      </c>
      <c r="C156" s="20" t="s">
        <v>132</v>
      </c>
      <c r="D156" s="20" t="s">
        <v>133</v>
      </c>
      <c r="E156" s="20" t="s">
        <v>134</v>
      </c>
    </row>
    <row r="157" spans="2:5" ht="14.25" customHeight="1">
      <c r="B157" s="1" t="s">
        <v>1084</v>
      </c>
      <c r="C157" s="1" t="s">
        <v>434</v>
      </c>
      <c r="D157" s="49">
        <f>IF(D150=2,0,0.5*D152*'Preliminary Calculation'!D7/D160)+D153*D155*D144^2</f>
        <v>1.4104628767272578</v>
      </c>
      <c r="E157" s="1" t="s">
        <v>161</v>
      </c>
    </row>
    <row r="158" spans="2:5" ht="15" customHeight="1">
      <c r="B158" s="1" t="s">
        <v>1099</v>
      </c>
      <c r="C158" s="1" t="s">
        <v>429</v>
      </c>
      <c r="D158" s="49">
        <f>(125-D154)/D157</f>
        <v>70.898711089818406</v>
      </c>
      <c r="E158" s="1" t="s">
        <v>430</v>
      </c>
    </row>
    <row r="159" spans="2:5" ht="14.25" customHeight="1">
      <c r="B159" s="1" t="s">
        <v>1100</v>
      </c>
      <c r="C159" s="1" t="s">
        <v>435</v>
      </c>
      <c r="D159" s="49">
        <f>D157*D160*2*'Design Spec'!$D$107</f>
        <v>5.6418515069090311</v>
      </c>
      <c r="E159" s="1" t="s">
        <v>161</v>
      </c>
    </row>
    <row r="160" spans="2:5" ht="15">
      <c r="B160" s="1" t="s">
        <v>1101</v>
      </c>
      <c r="C160" s="1" t="s">
        <v>1102</v>
      </c>
      <c r="D160" s="2">
        <v>2</v>
      </c>
      <c r="E160" s="26" t="s">
        <v>181</v>
      </c>
    </row>
    <row r="161" spans="2:5" ht="18" customHeight="1">
      <c r="B161" s="28" t="s">
        <v>436</v>
      </c>
      <c r="C161" s="28" t="s">
        <v>437</v>
      </c>
      <c r="D161" s="78"/>
      <c r="E161" s="79"/>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0"/>
      <c r="C171" s="80"/>
      <c r="E171" s="81"/>
    </row>
    <row r="172" spans="2:5" ht="14.25" customHeight="1">
      <c r="B172" s="80"/>
      <c r="C172" s="80"/>
      <c r="E172" s="81"/>
    </row>
    <row r="173" spans="2:5" ht="14.25" customHeight="1">
      <c r="B173" s="80"/>
      <c r="C173" s="80"/>
      <c r="E173" s="81"/>
    </row>
    <row r="174" spans="2:5" ht="14.25" customHeight="1">
      <c r="B174" s="80"/>
      <c r="C174" s="80"/>
      <c r="E174" s="81"/>
    </row>
    <row r="175" spans="2:5" ht="14.25" customHeight="1">
      <c r="B175" s="80"/>
      <c r="C175" s="80"/>
      <c r="E175" s="81"/>
    </row>
    <row r="176" spans="2:5" ht="14.25" customHeight="1">
      <c r="B176" s="82"/>
      <c r="C176" s="82"/>
      <c r="D176" s="83"/>
      <c r="E176" s="84"/>
    </row>
  </sheetData>
  <mergeCells count="4">
    <mergeCell ref="C89:E89"/>
    <mergeCell ref="C50:E50"/>
    <mergeCell ref="C67:E67"/>
    <mergeCell ref="C149:E14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9"/>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Components'!$F$107</f>
      </c>
      <c r="D83" s="10" t="inlineStr">
        <is>
          <t xml:space="preserve">V</t>
        </is>
      </c>
    </row>
    <row r="84">
      <c r="B84" s="10" t="inlineStr">
        <is>
          <t xml:space="preserve">V.drv min: driver range, and 10 V at the high-side gate after D.boot</t>
        </is>
      </c>
      <c r="C84" s="87">
        <f>MAX('Power Components'!$D$94,10+'Power Components'!$F$121)</f>
      </c>
      <c r="D84" s="10" t="inlineStr">
        <is>
          <t xml:space="preserve">V</t>
        </is>
      </c>
    </row>
    <row r="85">
      <c r="B85" s="10" t="inlineStr">
        <is>
          <t xml:space="preserve">V.drv max: driver range</t>
        </is>
      </c>
      <c r="C85" s="87">
        <f>'Power Components'!$D$95</f>
      </c>
      <c r="D85" s="10" t="inlineStr">
        <is>
          <t xml:space="preserve">V</t>
        </is>
      </c>
    </row>
    <row r="86">
      <c r="B86" s="10" t="inlineStr">
        <is>
          <t xml:space="preserve">Gate capacitance per position: n.par x C.g + C.gs</t>
        </is>
      </c>
      <c r="C86" s="87">
        <f>'Power Components'!$D$68*'Power Components'!$D$76+'Power Components'!$F$115</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Components'!$F$112=0,'Power Components'!$F$113,IF('Power Components'!$F$113&gt;0,'Power Components'!$F$113*'Power Components'!$F$110/('Power Components'!$F$113+'Power Components'!$F$110),'Power Components'!$F$110))</f>
      </c>
      <c r="D88" s="10" t="inlineStr">
        <is>
          <t xml:space="preserve">Ω</t>
        </is>
      </c>
    </row>
    <row r="89">
      <c r="B89" s="10" t="inlineStr">
        <is>
          <t xml:space="preserve">Turn-off path offset (D.off)</t>
        </is>
      </c>
      <c r="C89" s="87">
        <f>IF(AND('Power Components'!$F$112&gt;0,'Power Components'!$F$113&gt;0),'Power Components'!$F$112*'Power Components'!$F$110/('Power Components'!$F$113+'Power Components'!$F$110),0)</f>
      </c>
      <c r="D89" s="10" t="inlineStr">
        <is>
          <t xml:space="preserve">V</t>
        </is>
      </c>
    </row>
    <row r="90">
      <c r="B90" s="10" t="inlineStr">
        <is>
          <t xml:space="preserve">τ.on = (R.so + R.on + R.gi) C.G</t>
        </is>
      </c>
      <c r="C90" s="87">
        <f>(C81+'Power Components'!$F$110+C87)*C86</f>
      </c>
      <c r="D90" s="10" t="inlineStr">
        <is>
          <t xml:space="preserve">ns</t>
        </is>
      </c>
    </row>
    <row r="91">
      <c r="B91" s="10" t="inlineStr">
        <is>
          <t xml:space="preserve">τ.off = (R.si + R.off.eff + R.gi) C.G</t>
        </is>
      </c>
      <c r="C91" s="87">
        <f>(C82+C88+C87)*C86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C83*(1-EXP(-C92/C90))</f>
      </c>
      <c r="D94" s="10" t="inlineStr">
        <is>
          <t xml:space="preserve">V</t>
        </is>
      </c>
    </row>
    <row r="95">
      <c r="B95" s="10" t="inlineStr">
        <is>
          <t xml:space="preserve">Gate voltage at the end of the f.Max pulse</t>
        </is>
      </c>
      <c r="C95" s="87">
        <f>C83*(1-EXP(-C93/C90))</f>
      </c>
      <c r="D95" s="10" t="inlineStr">
        <is>
          <t xml:space="preserve">V</t>
        </is>
      </c>
    </row>
    <row r="96">
      <c r="B96" s="10" t="inlineStr">
        <is>
          <t xml:space="preserve">Energy per turn-on at f.Max</t>
        </is>
      </c>
      <c r="C96" s="87">
        <f>C86*C95*(C83-C95/2)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C81/(C81+'Power Components'!$F$110+C87)</f>
      </c>
      <c r="D98" s="10" t="inlineStr">
        <is>
          <t xml:space="preserve">-</t>
        </is>
      </c>
    </row>
    <row r="99">
      <c r="B99" s="10" t="inlineStr">
        <is>
          <t xml:space="preserve">Driver share of the turn-off energy</t>
        </is>
      </c>
      <c r="C99" s="87">
        <f>C82/(C82+C88+C87)</f>
      </c>
      <c r="D99" s="10" t="inlineStr">
        <is>
          <t xml:space="preserve">-</t>
        </is>
      </c>
    </row>
    <row r="100">
      <c r="B100" s="10" t="inlineStr">
        <is>
          <t xml:space="preserve">Driver power at f.Max, both positions + quiescent</t>
        </is>
      </c>
      <c r="C100" s="87">
        <f>2*(C96*C98+C97*C99)*'Device Setting'!$D$27*10^-6+'Power Components'!$D$100*C83/1000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Components'!$D$100*C83/1000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V.drv",MAX(0,C81/C103-C81-C87))</f>
      </c>
      <c r="D104" s="10" t="inlineStr">
        <is>
          <t xml:space="preserve">Ω</t>
        </is>
      </c>
    </row>
    <row r="105">
      <c r="B105" s="10" t="inlineStr">
        <is>
          <t xml:space="preserve">R.on max: the gate reaches 10 V within the start-up pulse</t>
        </is>
      </c>
      <c r="C105" s="87">
        <f>IF(C83&gt;10,C92/(C86*LN(C83/(C83-10)))-C81-C87,0)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Spec'!$D$46*C80/'Res.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C109*(C82+C88+C87)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Components'!$F$115)</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suggested: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Components'!$D$96+C90*LN(C83/(C83-'Power Components'!$D$80))</f>
      </c>
      <c r="D115" s="10" t="inlineStr">
        <is>
          <t xml:space="preserve">ns</t>
        </is>
      </c>
    </row>
    <row r="116">
      <c r="B116" s="10" t="inlineStr">
        <is>
          <t xml:space="preserve">IC edge -&gt; plateau on the way up</t>
        </is>
      </c>
      <c r="C116" s="87">
        <f>'Power Components'!$D$96+C90*LN(C83/(C83-'Power Components'!$D$79))</f>
      </c>
      <c r="D116" s="10" t="inlineStr">
        <is>
          <t xml:space="preserve">ns</t>
        </is>
      </c>
    </row>
    <row r="117">
      <c r="B117" s="10" t="inlineStr">
        <is>
          <t xml:space="preserve">t.off: IC edge -&gt; below V.th min</t>
        </is>
      </c>
      <c r="C117" s="87">
        <f>IF('Power Components'!$D$81&gt;C89,'Power Components'!$D$96+C91*LN((C83-C89)/('Power Components'!$D$81-C89)),"never")</f>
      </c>
      <c r="D117" s="10" t="inlineStr">
        <is>
          <t xml:space="preserve">ns</t>
        </is>
      </c>
    </row>
    <row r="118">
      <c r="B118" s="10" t="inlineStr">
        <is>
          <t xml:space="preserve">IC edge -&gt; plateau on the way down</t>
        </is>
      </c>
      <c r="C118" s="87">
        <f>'Power Components'!$D$96+C91*LN((C83-C89)/('Power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k.tD = min(max(420, t.DT) / need, t.D.max / max(need, t.DT))</t>
        </is>
      </c>
      <c r="C121" s="87">
        <f>MIN(MAX(420,'Power Components'!$D$98)/C119,C120/MAX(C119,'Power Components'!$D$98))</f>
      </c>
      <c r="D121" s="10" t="inlineStr">
        <is>
          <t xml:space="preserve">-</t>
        </is>
      </c>
    </row>
    <row r="122">
      <c r="B122" s="10" t="inlineStr">
        <is>
          <t xml:space="preserve">Turn-off path that holds the gate below V.th min against the Miller current</t>
        </is>
      </c>
      <c r="C122" s="87">
        <f>'Power Components'!$D$81/C109-C82-C87</f>
      </c>
      <c r="D122" s="10" t="inlineStr">
        <is>
          <t xml:space="preserve">Ω</t>
        </is>
      </c>
    </row>
    <row r="123">
      <c r="B123" s="10" t="inlineStr">
        <is>
          <t xml:space="preserve">Turn-off path that has the gate off before the other side turns on (t.D + t.on)</t>
        </is>
      </c>
      <c r="C123" s="87">
        <f>(MAX('Design Spec'!$D$47,'Power Components'!$D$98)+C115-'Power Components'!$D$96)/(LN((C83-C89)/('Power Components'!$D$81-C89))*C86)-C82-C87</f>
      </c>
      <c r="D123" s="10" t="inlineStr">
        <is>
          <t xml:space="preserve">Ω</t>
        </is>
      </c>
    </row>
    <row r="124">
      <c r="B124" s="10" t="inlineStr">
        <is>
          <t xml:space="preserve">Turn-off path that lets the channel go (V.pl -&gt; V.th) within the run swing T.T.run</t>
        </is>
      </c>
      <c r="C124" s="87">
        <f>C107/(LN(('Power Components'!$D$79-C89)/('Power Components'!$D$80-C89))*C86)-C82-C87</f>
      </c>
      <c r="D124" s="10" t="inlineStr">
        <is>
          <t xml:space="preserve">Ω</t>
        </is>
      </c>
    </row>
    <row r="125">
      <c r="B125" s="10" t="inlineStr">
        <is>
          <t xml:space="preserve">Turn-off path max: overlap and soft turn-off, and Miller unless C.gs alone holds</t>
        </is>
      </c>
      <c r="C125" s="87">
        <f>MIN(C123,C124,IF(C111&lt;='Power Components'!$D$81,1E+9,C122))</f>
      </c>
      <c r="D125" s="10" t="inlineStr">
        <is>
          <t xml:space="preserve">Ω</t>
        </is>
      </c>
    </row>
    <row r="126">
      <c r="B126" s="10" t="inlineStr">
        <is>
          <t xml:space="preserve">R.off that brings the path to half its max (in parallel with R.on unless V.F = 0)</t>
        </is>
      </c>
      <c r="C126" s="87">
        <f>IF('Power Components'!$F$112=0,C125/2,IF(C125/2&gt;='Power Components'!$F$110,1E+9,1/(2/C125-1/'Power Components'!$F$110)))</f>
      </c>
      <c r="D126" s="10" t="inlineStr">
        <is>
          <t xml:space="preserve">Ω</t>
        </is>
      </c>
    </row>
    <row r="127">
      <c r="B127" s="10" t="inlineStr">
        <is>
          <t xml:space="preserve">R.off suggested: GOFF - half the max; with D.off - min(R.on / 2, that need), E12 below</t>
        </is>
      </c>
      <c r="C127" s="87">
        <f>IF(C125&lt;=0,0,IF((IF('Power Components'!$F$112=0,C126,MIN('Power Components'!$F$110/2,C126)))&lt;=0,0,10^INT(LOG10((IF('Power Components'!$F$112=0,C126,MIN('Power Components'!$F$110/2,C126)))*1.000001))*LOOKUP((IF('Power Components'!$F$112=0,C126,MIN('Power Components'!$F$110/2,C126)))*1.000001/10^INT(LOG10((IF('Power Components'!$F$112=0,C126,MIN('Power Components'!$F$110/2,C126)))*1.000001)),{1,1.2,1.5,1.8,2.2,2.7,3.3,3.9,4.7,5.6,6.8,8.2})))</f>
      </c>
      <c r="D127" s="10" t="inlineStr">
        <is>
          <t xml:space="preserve">Ω</t>
        </is>
      </c>
    </row>
    <row r="128">
      <c r="B128" s="10" t="inlineStr">
        <is>
          <t xml:space="preserve">C.boot min: 10 x C.G</t>
        </is>
      </c>
      <c r="C128" s="87">
        <f>10*C86</f>
      </c>
      <c r="D128" s="10" t="inlineStr">
        <is>
          <t xml:space="preserve">nF</t>
        </is>
      </c>
    </row>
    <row r="129">
      <c r="B129" s="10" t="inlineStr">
        <is>
          <t xml:space="preserve">C.boot max: the first LOUT pulse still charges it to V.bo.min (with R.boot)</t>
        </is>
      </c>
      <c r="C129" s="87">
        <f>IF(C83-'Power Components'!$F$121&gt;'Power Components'!$D$103,C92/(MAX('Power Components'!$F$120,0.5)*LN((C83-'Power Components'!$F$121)/(C83-'Power Components'!$F$121-'Power Components'!$D$103))),0)</f>
      </c>
      <c r="D129" s="10" t="inlineStr">
        <is>
          <t xml:space="preserve">nF</t>
        </is>
      </c>
    </row>
    <row r="130">
      <c r="B130" s="10" t="inlineStr">
        <is>
          <t xml:space="preserve">C.boot recommended: E6 above the min</t>
        </is>
      </c>
      <c r="C130" s="87">
        <f>IF((C128)&lt;=0,0,-10^INT(LOG10((C128)*0.999999))*LOOKUP(-(C128)*0.999999/10^INT(LOG10((C128)*0.999999)),{-10,-6.8,-4.7,-3.3,-2.2,-1.5,-1}))</f>
      </c>
      <c r="D130" s="10" t="inlineStr">
        <is>
          <t xml:space="preserve">nF</t>
        </is>
      </c>
    </row>
    <row r="131">
      <c r="B131" s="10" t="inlineStr">
        <is>
          <t xml:space="preserve">τ.boot (a diode alone taken as 0.5 Ω)</t>
        </is>
      </c>
      <c r="C131" s="87">
        <f>MAX('Power Components'!$F$120,0.5)*'Power Components'!$F$118</f>
      </c>
      <c r="D131" s="10" t="inlineStr">
        <is>
          <t xml:space="preserve">ns</t>
        </is>
      </c>
    </row>
    <row r="132">
      <c r="B132" s="10" t="inlineStr">
        <is>
          <t xml:space="preserve">R.boot max: the first LOUT pulse reaches V.bo.min (with C.boot)</t>
        </is>
      </c>
      <c r="C132" s="87">
        <f>IF(C83-'Power Components'!$F$121&gt;'Power Components'!$D$103,C92/('Power Components'!$F$118*LN((C83-'Power Components'!$F$121)/(C83-'Power Components'!$F$121-'Power Components'!$D$103))),"V.drv too low")</f>
      </c>
      <c r="D132" s="10" t="inlineStr">
        <is>
          <t xml:space="preserve">Ω</t>
        </is>
      </c>
    </row>
    <row r="133">
      <c r="B133" s="10" t="inlineStr">
        <is>
          <t xml:space="preserve">R.boot suggested: half the max, E12 below</t>
        </is>
      </c>
      <c r="C133" s="87">
        <f>IF(ISNUMBER(C132),IF((C132/2)&lt;=0,0,10^INT(LOG10((C132/2)*1.000001))*LOOKUP((C132/2)*1.000001/10^INT(LOG10((C132/2)*1.000001)),{1,1.2,1.5,1.8,2.2,2.7,3.3,3.9,4.7,5.6,6.8,8.2})),0)</f>
      </c>
      <c r="D133" s="10" t="inlineStr">
        <is>
          <t xml:space="preserve">Ω</t>
        </is>
      </c>
    </row>
    <row r="134">
      <c r="B134" s="10" t="inlineStr">
        <is>
          <t xml:space="preserve">V.BS after the first LOUT pulse</t>
        </is>
      </c>
      <c r="C134" s="87">
        <f>(C83-'Power Components'!$F$121)*(1-EXP(-C92/C131))</f>
      </c>
      <c r="D134" s="10" t="inlineStr">
        <is>
          <t xml:space="preserve">V</t>
        </is>
      </c>
    </row>
    <row r="135">
      <c r="B135" s="10" t="inlineStr">
        <is>
          <t xml:space="preserve">V.BS drop per high-side pulse at f.SU (gate charge + floating quiescent 120 uA)</t>
        </is>
      </c>
      <c r="C135" s="87">
        <f>C86*C94/'Power Components'!$F$118+0.00012*C92/'Power Components'!$F$118</f>
      </c>
      <c r="D135" s="10" t="inlineStr">
        <is>
          <t xml:space="preserve">V</t>
        </is>
      </c>
    </row>
    <row r="136">
      <c r="B136" s="10" t="inlineStr">
        <is>
          <t xml:space="preserve">V.BS lowest, steady at f.SU</t>
        </is>
      </c>
      <c r="C136" s="87">
        <f>C83-'Power Components'!$F$121-C135*EXP(-C92/C131)/(1-EXP(-C92/C131))-C135</f>
      </c>
      <c r="D136" s="10" t="inlineStr">
        <is>
          <t xml:space="preserve">V</t>
        </is>
      </c>
    </row>
    <row r="137">
      <c r="B137" s="10" t="inlineStr">
        <is>
          <t xml:space="preserve">P.Ron at f.Max</t>
        </is>
      </c>
      <c r="C137" s="87">
        <f>(C96*'Power Components'!$F$110/(C81+'Power Components'!$F$110+C87)+IF('Power Components'!$F$112=0,0,C97*C88/(C82+C88+C87)*C88/'Power Components'!$F$110))*'Device Setting'!$D$27*10^-6</f>
      </c>
      <c r="D137" s="10" t="inlineStr">
        <is>
          <t xml:space="preserve">W</t>
        </is>
      </c>
    </row>
    <row r="138">
      <c r="B138" s="10" t="inlineStr">
        <is>
          <t xml:space="preserve">P.Roff at f.Max</t>
        </is>
      </c>
      <c r="C138" s="87">
        <f>IF('Power Components'!$F$113&gt;0,C97*C88/(C82+C88+C87)*IF('Power Components'!$F$112=0,1,C88/'Power Components'!$F$113)*'Device Setting'!$D$27*10^-6,0)</f>
      </c>
      <c r="D138" s="10" t="inlineStr">
        <is>
          <t xml:space="preserve">W</t>
        </is>
      </c>
    </row>
    <row r="139">
      <c r="B139" s="10" t="inlineStr">
        <is>
          <t xml:space="preserve">Driver junction at f.Max and Ta (Power Components D73)</t>
        </is>
      </c>
      <c r="C139" s="87">
        <f>'Power Components'!$D$73+C100*'Power Components'!$D$101</f>
      </c>
      <c r="D139"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