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<sst xmlns="http://schemas.openxmlformats.org/spreadsheetml/2006/main" count="2127" uniqueCount="1232">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</sst>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11); primary MOSFET as the guide, SR as the board.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11</t>
        </is>
      </c>
      <c r="F159" s="8" t="inlineStr">
        <is>
          <t xml:space="preserve">n.Cout - Rubycon PX 6800 uF / 35 V, 18 x 35.5 mm; 11 (user 2026-10-18: 16 do not fit). Ripple current 2.62 A rms each against the PX rating 1.92 A at 120 Hz / 105 C (x 1.15 above 10 kHz = 2.21 A) - over the rating; check the can temperature on the board</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220</t>
        </is>
      </c>
      <c r="F168" s="8" t="inlineStr">
        <is>
          <t xml:space="preserve">C.Fo, nF - compensation re-scaled (zero and pole kept) for the UPC1008 CTR and the 11-capacitor plant, the set picked for a low 3rd harmonic (user 2026-10-18): f.cross 12.6 Hz, phase margin 48.9 deg, 3rd harmonic 2.76 %</t>
        </is>
      </c>
    </row>
    <row r="169">
      <c r="B169" s="8" t="inlineStr">
        <is>
          <t xml:space="preserve">CompensationNet&amp;Check</t>
        </is>
      </c>
      <c r="C169" s="8" t="inlineStr">
        <is>
          <t xml:space="preserve">F94</t>
        </is>
      </c>
      <c r="D169" s="8" t="inlineStr">
        <is>
          <t xml:space="preserve">560</t>
        </is>
      </c>
      <c r="E169" s="8" t="inlineStr">
        <is>
          <t xml:space="preserve">1500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18</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79"/>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11</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inlineStr">
        <is>
          <t xml:space="preserve">TPH3R70APL1</t>
        </is>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5" ht="15" customHeight="1">
      <c r="B96" s="1" t="s">
        <v>1219</v>
      </c>
      <c r="C96" s="1" t="s">
        <v>433</v>
      </c>
      <c r="D96" s="2">
        <v>0.0037</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1500</v>
      </c>
      <c r="G94" s="125"/>
    </row>
    <row r="95" spans="2:7" ht="14.25" customHeight="1">
      <c r="B95" s="1" t="s">
        <v>668</v>
      </c>
      <c r="C95" s="54" t="s">
        <v>669</v>
      </c>
      <c r="D95" s="55">
        <f>1/(2*PI()*(D86*IF(F94,F94,D94)*(10^-9)))/1000</f>
        <v>45.715337710116671</v>
      </c>
      <c r="E95" s="54" t="s">
        <v>452</v>
      </c>
      <c r="F95" s="2">
        <v>18</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74"/>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