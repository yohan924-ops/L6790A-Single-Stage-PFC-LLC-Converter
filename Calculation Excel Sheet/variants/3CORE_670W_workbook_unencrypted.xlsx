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<sst xmlns="http://schemas.openxmlformats.org/spreadsheetml/2006/main" count="2127" uniqueCount="1232">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</sst>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49">
      <c r="B149" s="8" t="inlineStr">
        <is>
          <t xml:space="preserve">Device Setting</t>
        </is>
      </c>
      <c r="C149" s="8" t="inlineStr">
        <is>
          <t xml:space="preserve">D136:H136</t>
        </is>
      </c>
      <c r="D149" s="8" t="inlineStr">
        <is>
          <t xml:space="preserve"/>
        </is>
      </c>
      <c r="E149" s="8" t="inlineStr">
        <is>
          <t xml:space="preserve">composite peak per load column</t>
        </is>
      </c>
      <c r="F149" s="8" t="inlineStr">
        <is>
          <t xml:space="preserve">I.Lr.pk</t>
        </is>
      </c>
    </row>
    <row r="150">
      <c r="B150" s="8" t="inlineStr">
        <is>
          <t xml:space="preserve">Device Setting</t>
        </is>
      </c>
      <c r="C150" s="8" t="inlineStr">
        <is>
          <t xml:space="preserve">D140</t>
        </is>
      </c>
      <c r="D150" s="8" t="inlineStr">
        <is>
          <t xml:space="preserve"/>
        </is>
      </c>
      <c r="E150" s="8" t="inlineStr">
        <is>
          <t xml:space="preserve">magnetizing peak at f.Min</t>
        </is>
      </c>
      <c r="F150" s="8" t="inlineStr">
        <is>
          <t xml:space="preserve">I.lm.zc</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16); MOSFETs as the guide.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16</t>
        </is>
      </c>
      <c r="F159" s="8" t="inlineStr">
        <is>
          <t xml:space="preserve">n.Cout - Rubycon PX 6800 uF / 35 V, 18 x 35.5 mm; 16 set by the ripple current (1.80 A rms each against 1.92 A at 120 Hz / 105 C), the capacitance alone needs 11</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100</t>
        </is>
      </c>
      <c r="F168" s="8" t="inlineStr">
        <is>
          <t xml:space="preserve">C.Fo, nF - compensation x 1.21 (zero and pole kept) for the UPC1008 CTR: f.cross 17.4 Hz, phase margin 49.6 deg, 3rd harmonic 4.16 %</t>
        </is>
      </c>
    </row>
    <row r="169">
      <c r="B169" s="8" t="inlineStr">
        <is>
          <t xml:space="preserve">CompensationNet&amp;Check</t>
        </is>
      </c>
      <c r="C169" s="8" t="inlineStr">
        <is>
          <t xml:space="preserve">F94</t>
        </is>
      </c>
      <c r="D169" s="8" t="inlineStr">
        <is>
          <t xml:space="preserve">560</t>
        </is>
      </c>
      <c r="E169" s="8" t="inlineStr">
        <is>
          <t xml:space="preserve">680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39</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100</v>
      </c>
      <c r="G93" s="125"/>
    </row>
    <row r="94" spans="2:7" ht="14.25" customHeight="1">
      <c r="B94" s="1" t="s">
        <v>666</v>
      </c>
      <c r="C94" s="1" t="s">
        <v>667</v>
      </c>
      <c r="D94" s="49">
        <f>IF(F93,F93,D93)*((D85/D86)-1)</f>
        <v>525.49155297423772</v>
      </c>
      <c r="E94" s="1" t="s">
        <v>200</v>
      </c>
      <c r="F94" s="2">
        <v>680</v>
      </c>
      <c r="G94" s="125"/>
    </row>
    <row r="95" spans="2:7" ht="14.25" customHeight="1">
      <c r="B95" s="1" t="s">
        <v>668</v>
      </c>
      <c r="C95" s="54" t="s">
        <v>669</v>
      </c>
      <c r="D95" s="55">
        <f>1/(2*PI()*(D86*IF(F94,F94,D94)*(10^-9)))/1000</f>
        <v>45.715337710116671</v>
      </c>
      <c r="E95" s="54" t="s">
        <v>452</v>
      </c>
      <c r="F95" s="2">
        <v>39</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