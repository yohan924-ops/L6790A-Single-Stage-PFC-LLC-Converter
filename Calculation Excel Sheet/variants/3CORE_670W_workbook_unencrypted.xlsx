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<sst xmlns="http://schemas.openxmlformats.org/spreadsheetml/2006/main" count="2127" uniqueCount="1232">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</sst>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start-up conditions and gate drive (Power Components 121-) - ADDED (user, 2026-10-22): start-up with the output near 0 V (the transformer a short, the series L.r-C.r on the bridge square wave: edge current at f.SU in FB and HB, OCP margins, the lowest frequency before OCP1, swing time and dv/dt) and the gate drive (driver, on/off network with Conf.DRV 1 one OUT pin or 2 separate GON/GOFF with V.F 0, external C.gs, timing from the IC edge, dead time needed in run and the start-up ZVS window, driver and resistor power, Miller bump, bootstrap). Same model as gate_budget.py. Inputs: design sheet section 14c.1: V.CC_reg_max 14.35 V, R.G 4.7, R.G_off 2.2 ohm + 1N4148W, C.BOOT 470 nF, ES1J (V.F 1.3 V) with no series resistor, 1206.</t>
        </is>
      </c>
    </row>
    <row r="182">
      <c r="B182" s="8" t="inlineStr">
        <is>
          <t xml:space="preserve">Power Components</t>
        </is>
      </c>
      <c r="C182" s="8" t="inlineStr">
        <is>
          <t xml:space="preserve">B121:F208</t>
        </is>
      </c>
      <c r="F182" s="8" t="inlineStr">
        <is>
          <t xml:space="preserve">start-up rows 121-137, gate drive rows 139-208 (yellow = input)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08"/>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row r="121">
      <c r="B121" s="19" t="inlineStr">
        <is>
          <t xml:space="preserve">Start-up conditions - output near 0 V, transformer a short  [ADDED]</t>
        </is>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Start-up switching frequency (Device Setting D29)</t>
        </is>
      </c>
      <c r="C123" s="1" t="inlineStr">
        <is>
          <t xml:space="preserve">f.SU</t>
        </is>
      </c>
      <c r="D123" s="49">
        <f>'Device Setting'!D29</f>
      </c>
      <c r="E123" s="26" t="inlineStr">
        <is>
          <t xml:space="preserve">kHz</t>
        </is>
      </c>
    </row>
    <row r="124">
      <c r="B124" s="1" t="inlineStr">
        <is>
          <t xml:space="preserve">Maximum switching frequency - continuous worst for the gate drive</t>
        </is>
      </c>
      <c r="C124" s="1" t="inlineStr">
        <is>
          <t xml:space="preserve">f.Max</t>
        </is>
      </c>
      <c r="D124" s="49">
        <f>'Device Setting'!D27</f>
      </c>
      <c r="E124" s="26" t="inlineStr">
        <is>
          <t xml:space="preserve">kHz</t>
        </is>
      </c>
    </row>
    <row r="125">
      <c r="B125" s="1" t="inlineStr">
        <is>
          <t xml:space="preserve">Series resonance of the selected L.r - C.r: below it the bridge is capacitive while V.out is low</t>
        </is>
      </c>
      <c r="C125" s="1" t="inlineStr">
        <is>
          <t xml:space="preserve">f.r</t>
        </is>
      </c>
      <c r="D125" s="49">
        <f>1/(2*PI()*SQRT(IF('Res. Tank Design'!$F$44,'Res. Tank Design'!$F$44,'Res. Tank Design'!$D$44)*IF('Res. Tank Design'!$F$43,'Res. Tank Design'!$F$43,'Res. Tank Design'!$D$43)*10^-15))/1000</f>
      </c>
      <c r="E125" s="26" t="inlineStr">
        <is>
          <t xml:space="preserve">kHz</t>
        </is>
      </c>
    </row>
    <row r="126">
      <c r="B126" s="1" t="inlineStr">
        <is>
          <t xml:space="preserve">Characteristic impedance of L.r - C.r</t>
        </is>
      </c>
      <c r="C126" s="1" t="inlineStr">
        <is>
          <t xml:space="preserve">Z0</t>
        </is>
      </c>
      <c r="D126" s="49">
        <f>SQRT(IF('Res. Tank Design'!$F$44,'Res. Tank Design'!$F$44,'Res. Tank Design'!$D$44)/IF('Res. Tank Design'!$F$43,'Res. Tank Design'!$F$43,'Res. Tank Design'!$D$43)*1000)</f>
      </c>
      <c r="E126" s="26" t="inlineStr">
        <is>
          <t xml:space="preserve">Ω</t>
        </is>
      </c>
    </row>
    <row r="127">
      <c r="B127" s="1" t="inlineStr">
        <is>
          <t xml:space="preserve">Highest bus in FB - HB/FB morphing threshold (DS V.HVPK_BOH)</t>
        </is>
      </c>
      <c r="C127" s="1" t="inlineStr">
        <is>
          <t xml:space="preserve">V.bus.FB</t>
        </is>
      </c>
      <c r="D127" s="2">
        <v>235</v>
      </c>
      <c r="E127" s="26" t="inlineStr">
        <is>
          <t xml:space="preserve">V</t>
        </is>
      </c>
    </row>
    <row r="128">
      <c r="B128" s="1" t="inlineStr">
        <is>
          <t xml:space="preserve">Highest bus in HB - sqrt(2) x VAC.max</t>
        </is>
      </c>
      <c r="C128" s="1" t="inlineStr">
        <is>
          <t xml:space="preserve">V.bus.HB</t>
        </is>
      </c>
      <c r="D128" s="49">
        <f>SQRT(2)*'Design Spec'!D14</f>
      </c>
      <c r="E128" s="26" t="inlineStr">
        <is>
          <t xml:space="preserve">V</t>
        </is>
      </c>
    </row>
    <row r="129">
      <c r="B129" s="1" t="inlineStr">
        <is>
          <t xml:space="preserve">Tank current at the edge (= peak) at f.SU, FB, square wave V.bus.FB</t>
        </is>
      </c>
      <c r="C129" s="1" t="inlineStr">
        <is>
          <t xml:space="preserve">I.SU.FB</t>
        </is>
      </c>
      <c r="D129" s="49">
        <f>D127/D126*TAN(PI()*D125/(2*D123))</f>
      </c>
      <c r="E129" s="26" t="inlineStr">
        <is>
          <t xml:space="preserve">A</t>
        </is>
      </c>
    </row>
    <row r="130">
      <c r="B130" s="1" t="inlineStr">
        <is>
          <t xml:space="preserve">Tank current at the edge (= peak) at f.SU, HB, square wave V.bus.HB / 2</t>
        </is>
      </c>
      <c r="C130" s="1" t="inlineStr">
        <is>
          <t xml:space="preserve">I.SU.HB</t>
        </is>
      </c>
      <c r="D130" s="49">
        <f>D128/2/D126*TAN(PI()*D125/(2*D123))</f>
      </c>
      <c r="E130" s="26" t="inlineStr">
        <is>
          <t xml:space="preserve">A</t>
        </is>
      </c>
    </row>
    <row r="131">
      <c r="B131" s="1" t="inlineStr">
        <is>
          <t xml:space="preserve">OCP1 trip current (Device Setting D49) - raises the frequency</t>
        </is>
      </c>
      <c r="C131" s="1" t="inlineStr">
        <is>
          <t xml:space="preserve">I.OCP1</t>
        </is>
      </c>
      <c r="D131" s="49">
        <f>'Device Setting'!D49</f>
      </c>
      <c r="E131" s="26" t="inlineStr">
        <is>
          <t xml:space="preserve">A</t>
        </is>
      </c>
    </row>
    <row r="132">
      <c r="B132" s="1" t="inlineStr">
        <is>
          <t xml:space="preserve">OCP2 trip current (Device Setting G49) - 50 us stop, restart at f.SU</t>
        </is>
      </c>
      <c r="C132" s="1" t="inlineStr">
        <is>
          <t xml:space="preserve">I.OCP2</t>
        </is>
      </c>
      <c r="D132" s="49">
        <f>'Device Setting'!G49</f>
      </c>
      <c r="E132" s="26" t="inlineStr">
        <is>
          <t xml:space="preserve">A</t>
        </is>
      </c>
    </row>
    <row r="133">
      <c r="B133" s="1" t="inlineStr">
        <is>
          <t xml:space="preserve">OCP2 margin at f.SU - target &gt; 1, else start-up restarts</t>
        </is>
      </c>
      <c r="C133" s="1" t="inlineStr">
        <is>
          <t xml:space="preserve">k.SU.OCP2</t>
        </is>
      </c>
      <c r="D133" s="49">
        <f>D132/MAX(D129,D130)</f>
      </c>
      <c r="E133" s="26" t="inlineStr">
        <is>
          <t xml:space="preserve">-</t>
        </is>
      </c>
      <c r="F133" s="1">
        <f>IF(D133&gt;=1,"OK","CHECK")</f>
      </c>
    </row>
    <row r="134">
      <c r="B134" s="1" t="inlineStr">
        <is>
          <t xml:space="preserve">Lowest frequency before OCP1 while V.out ~ 0 (start-up stays above it until V.out rises)</t>
        </is>
      </c>
      <c r="C134" s="1" t="inlineStr">
        <is>
          <t xml:space="preserve">f.SU.OCP1</t>
        </is>
      </c>
      <c r="D134" s="49">
        <f>PI()*D125/(2*ATAN(D131*D126/MAX(D127,D128/2)))</f>
      </c>
      <c r="E134" s="26" t="inlineStr">
        <is>
          <t xml:space="preserve">kHz</t>
        </is>
      </c>
    </row>
    <row r="135">
      <c r="B135" s="1" t="inlineStr">
        <is>
          <t xml:space="preserve">Midpoint swing time at f.SU, FB (c.HB, Design Spec D46)</t>
        </is>
      </c>
      <c r="C135" s="1" t="inlineStr">
        <is>
          <t xml:space="preserve">T.T.SU.FB</t>
        </is>
      </c>
      <c r="D135" s="49">
        <f>'Design Spec'!$D$46*D127/D129/1000</f>
      </c>
      <c r="E135" s="26" t="inlineStr">
        <is>
          <t xml:space="preserve">ns</t>
        </is>
      </c>
    </row>
    <row r="136">
      <c r="B136" s="1" t="inlineStr">
        <is>
          <t xml:space="preserve">Midpoint swing time at f.SU, HB</t>
        </is>
      </c>
      <c r="C136" s="1" t="inlineStr">
        <is>
          <t xml:space="preserve">T.T.SU.HB</t>
        </is>
      </c>
      <c r="D136" s="49">
        <f>'Design Spec'!$D$46*D128/D130/1000</f>
      </c>
      <c r="E136" s="26" t="inlineStr">
        <is>
          <t xml:space="preserve">ns</t>
        </is>
      </c>
    </row>
    <row r="137">
      <c r="B137" s="1" t="inlineStr">
        <is>
          <t xml:space="preserve">Midpoint dv/dt at f.SU - driver immunity 50 V/ns</t>
        </is>
      </c>
      <c r="C137" s="1" t="inlineStr">
        <is>
          <t xml:space="preserve">dv/dt.SU</t>
        </is>
      </c>
      <c r="D137" s="49">
        <f>MAX(D129,D130)/'Design Spec'!$D$46*1000</f>
      </c>
      <c r="E137" s="26" t="inlineStr">
        <is>
          <t xml:space="preserve">V/ns</t>
        </is>
      </c>
      <c r="F137" s="1">
        <f>IF(D137&lt;=50,"OK","CHECK")</f>
      </c>
    </row>
    <row r="138"/>
    <row r="139">
      <c r="B139" s="19" t="inlineStr">
        <is>
          <t xml:space="preserve">Gate drive - driver, gate network and bootstrap, per switch position  [ADDED]</t>
        </is>
      </c>
    </row>
    <row r="140">
      <c r="B140" s="20" t="inlineStr">
        <is>
          <t xml:space="preserve">Parameters (yellow = input)</t>
        </is>
      </c>
      <c r="C140" s="20" t="inlineStr">
        <is>
          <t xml:space="preserve">Name</t>
        </is>
      </c>
      <c r="D140" s="20" t="inlineStr">
        <is>
          <t xml:space="preserve">Value</t>
        </is>
      </c>
      <c r="E140" s="20" t="inlineStr">
        <is>
          <t xml:space="preserve">Unit</t>
        </is>
      </c>
      <c r="F140" s="20" t="inlineStr">
        <is>
          <t xml:space="preserve">Check</t>
        </is>
      </c>
    </row>
    <row r="141">
      <c r="B141" s="1" t="inlineStr">
        <is>
          <t xml:space="preserve">Gate driver part number</t>
        </is>
      </c>
      <c r="C141" s="202" t="inlineStr">
        <is>
          <t xml:space="preserve">L6498LD (one OUT pin per side)</t>
        </is>
      </c>
    </row>
    <row r="142">
      <c r="B142" s="1" t="inlineStr">
        <is>
          <t xml:space="preserve">Driver supply = gate drive voltage (high side ~ V.BS)</t>
        </is>
      </c>
      <c r="C142" s="1" t="inlineStr">
        <is>
          <t xml:space="preserve">V.DRV</t>
        </is>
      </c>
      <c r="D142" s="2">
        <v>14.35</v>
      </c>
      <c r="E142" s="26" t="inlineStr">
        <is>
          <t xml:space="preserve">V</t>
        </is>
      </c>
    </row>
    <row r="143">
      <c r="B143" s="1" t="inlineStr">
        <is>
          <t xml:space="preserve">Driver output: 1 = one OUT pin (R.on also carries turn-off), 2 = separate GON / GOFF pins</t>
        </is>
      </c>
      <c r="C143" s="1" t="inlineStr">
        <is>
          <t xml:space="preserve">Conf.DRV</t>
        </is>
      </c>
      <c r="D143" s="2">
        <v>1</v>
      </c>
      <c r="E143" s="26" t="inlineStr">
        <is>
          <t xml:space="preserve">-</t>
        </is>
      </c>
    </row>
    <row r="144">
      <c r="B144" s="1" t="inlineStr">
        <is>
          <t xml:space="preserve">Turn-on gate resistor</t>
        </is>
      </c>
      <c r="C144" s="1" t="inlineStr">
        <is>
          <t xml:space="preserve">R.on</t>
        </is>
      </c>
      <c r="D144" s="2">
        <v>4.7</v>
      </c>
      <c r="E144" s="26" t="inlineStr">
        <is>
          <t xml:space="preserve">Ω</t>
        </is>
      </c>
    </row>
    <row r="145">
      <c r="B145" s="1" t="inlineStr">
        <is>
          <t xml:space="preserve">Turn-off resistor: Conf 1 = the diode branch (0 = no branch), Conf 2 = the GOFF resistor</t>
        </is>
      </c>
      <c r="C145" s="1" t="inlineStr">
        <is>
          <t xml:space="preserve">R.off</t>
        </is>
      </c>
      <c r="D145" s="2">
        <v>2.2</v>
      </c>
      <c r="E145" s="26" t="inlineStr">
        <is>
          <t xml:space="preserve">Ω</t>
        </is>
      </c>
    </row>
    <row r="146">
      <c r="B146" s="1" t="inlineStr">
        <is>
          <t xml:space="preserve">Turn-off diode forward voltage - 0 with a separate GOFF pin</t>
        </is>
      </c>
      <c r="C146" s="1" t="inlineStr">
        <is>
          <t xml:space="preserve">V.F.off</t>
        </is>
      </c>
      <c r="D146" s="2">
        <v>0.7</v>
      </c>
      <c r="E146" s="26" t="inlineStr">
        <is>
          <t xml:space="preserve">V</t>
        </is>
      </c>
    </row>
    <row r="147">
      <c r="B147" s="1" t="inlineStr">
        <is>
          <t xml:space="preserve">External gate-source capacitor (0 = none)</t>
        </is>
      </c>
      <c r="C147" s="1" t="inlineStr">
        <is>
          <t xml:space="preserve">C.gs.ext</t>
        </is>
      </c>
      <c r="D147" s="2">
        <v>0</v>
      </c>
      <c r="E147" s="26" t="inlineStr">
        <is>
          <t xml:space="preserve">nF</t>
        </is>
      </c>
    </row>
    <row r="148">
      <c r="B148" s="1" t="inlineStr">
        <is>
          <t xml:space="preserve">Power rating of the R.on package</t>
        </is>
      </c>
      <c r="C148" s="1" t="inlineStr">
        <is>
          <t xml:space="preserve">P.R.on.rat</t>
        </is>
      </c>
      <c r="D148" s="2">
        <v>0.25</v>
      </c>
      <c r="E148" s="26" t="inlineStr">
        <is>
          <t xml:space="preserve">W</t>
        </is>
      </c>
    </row>
    <row r="149">
      <c r="B149" s="1" t="inlineStr">
        <is>
          <t xml:space="preserve">Power rating of the R.off package</t>
        </is>
      </c>
      <c r="C149" s="1" t="inlineStr">
        <is>
          <t xml:space="preserve">P.R.off.rat</t>
        </is>
      </c>
      <c r="D149" s="2">
        <v>0.25</v>
      </c>
      <c r="E149" s="26" t="inlineStr">
        <is>
          <t xml:space="preserve">W</t>
        </is>
      </c>
    </row>
    <row r="150">
      <c r="B150" s="1" t="inlineStr">
        <is>
          <t xml:space="preserve">Driver source resistance - 15 V / I.so min 1.4 A (L6498 full temperature)</t>
        </is>
      </c>
      <c r="C150" s="1" t="inlineStr">
        <is>
          <t xml:space="preserve">R.so</t>
        </is>
      </c>
      <c r="D150" s="2">
        <v>10.71</v>
      </c>
      <c r="E150" s="26" t="inlineStr">
        <is>
          <t xml:space="preserve">Ω</t>
        </is>
      </c>
    </row>
    <row r="151">
      <c r="B151" s="1" t="inlineStr">
        <is>
          <t xml:space="preserve">Driver sink resistance - 15 V / I.si min 1.55 A</t>
        </is>
      </c>
      <c r="C151" s="1" t="inlineStr">
        <is>
          <t xml:space="preserve">R.si</t>
        </is>
      </c>
      <c r="D151" s="2">
        <v>9.68</v>
      </c>
      <c r="E151" s="26" t="inlineStr">
        <is>
          <t xml:space="preserve">Ω</t>
        </is>
      </c>
    </row>
    <row r="152">
      <c r="B152" s="1" t="inlineStr">
        <is>
          <t xml:space="preserve">Driver propagation delay, typ (L6498 85 ns, max 120)</t>
        </is>
      </c>
      <c r="C152" s="1" t="inlineStr">
        <is>
          <t xml:space="preserve">t.pd</t>
        </is>
      </c>
      <c r="D152" s="2">
        <v>85</v>
      </c>
      <c r="E152" s="26" t="inlineStr">
        <is>
          <t xml:space="preserve">ns</t>
        </is>
      </c>
    </row>
    <row r="153">
      <c r="B153" s="1" t="inlineStr">
        <is>
          <t xml:space="preserve">Driver delay matching, max (L6498)</t>
        </is>
      </c>
      <c r="C153" s="1" t="inlineStr">
        <is>
          <t xml:space="preserve">MT</t>
        </is>
      </c>
      <c r="D153" s="2">
        <v>30</v>
      </c>
      <c r="E153" s="26" t="inlineStr">
        <is>
          <t xml:space="preserve">ns</t>
        </is>
      </c>
    </row>
    <row r="154">
      <c r="B154" s="1" t="inlineStr">
        <is>
          <t xml:space="preserve">Driver quiescent current, VCC + floating, max (480 + 120 uA)</t>
        </is>
      </c>
      <c r="C154" s="1" t="inlineStr">
        <is>
          <t xml:space="preserve">I.Q.drv</t>
        </is>
      </c>
      <c r="D154" s="2">
        <v>0.6</v>
      </c>
      <c r="E154" s="26" t="inlineStr">
        <is>
          <t xml:space="preserve">mA</t>
        </is>
      </c>
    </row>
    <row r="155">
      <c r="B155" s="1" t="inlineStr">
        <is>
          <t xml:space="preserve">Driver thermal resistance j-a (L6498 SO-14)</t>
        </is>
      </c>
      <c r="C155" s="1" t="inlineStr">
        <is>
          <t xml:space="preserve">Rth.drv</t>
        </is>
      </c>
      <c r="D155" s="2">
        <v>120</v>
      </c>
      <c r="E155" s="26" t="inlineStr">
        <is>
          <t xml:space="preserve">˚C/W</t>
        </is>
      </c>
    </row>
    <row r="156">
      <c r="B156" s="1" t="inlineStr">
        <is>
          <t xml:space="preserve">Ambient for the driver check, inside the set [assumed]</t>
        </is>
      </c>
      <c r="C156" s="1" t="inlineStr">
        <is>
          <t xml:space="preserve">Ta.drv</t>
        </is>
      </c>
      <c r="D156" s="2">
        <v>70</v>
      </c>
      <c r="E156" s="26" t="inlineStr">
        <is>
          <t xml:space="preserve">˚C</t>
        </is>
      </c>
    </row>
    <row r="157">
      <c r="B157" s="1" t="inlineStr">
        <is>
          <t xml:space="preserve">MOSFET gate capacitance above the plateau, per device (Qg slope)</t>
        </is>
      </c>
      <c r="C157" s="1" t="inlineStr">
        <is>
          <t xml:space="preserve">C.g</t>
        </is>
      </c>
      <c r="D157" s="2">
        <v>7.5</v>
      </c>
      <c r="E157" s="26" t="inlineStr">
        <is>
          <t xml:space="preserve">nF</t>
        </is>
      </c>
    </row>
    <row r="158">
      <c r="B158" s="1" t="inlineStr">
        <is>
          <t xml:space="preserve">MOSFET gate-source capacitance, per device (C.iss - C.rss)</t>
        </is>
      </c>
      <c r="C158" s="1" t="inlineStr">
        <is>
          <t xml:space="preserve">C.gs</t>
        </is>
      </c>
      <c r="D158" s="2">
        <v>4.76</v>
      </c>
      <c r="E158" s="26" t="inlineStr">
        <is>
          <t xml:space="preserve">nF</t>
        </is>
      </c>
    </row>
    <row r="159">
      <c r="B159" s="1" t="inlineStr">
        <is>
          <t xml:space="preserve">MOSFET internal gate resistance, per device</t>
        </is>
      </c>
      <c r="C159" s="1" t="inlineStr">
        <is>
          <t xml:space="preserve">R.g.int</t>
        </is>
      </c>
      <c r="D159" s="2">
        <v>4.5</v>
      </c>
      <c r="E159" s="26" t="inlineStr">
        <is>
          <t xml:space="preserve">Ω</t>
        </is>
      </c>
    </row>
    <row r="160">
      <c r="B160" s="1" t="inlineStr">
        <is>
          <t xml:space="preserve">MOSFET Miller plateau</t>
        </is>
      </c>
      <c r="C160" s="1" t="inlineStr">
        <is>
          <t xml:space="preserve">V.pl</t>
        </is>
      </c>
      <c r="D160" s="2">
        <v>6.3</v>
      </c>
      <c r="E160" s="26" t="inlineStr">
        <is>
          <t xml:space="preserve">V</t>
        </is>
      </c>
    </row>
    <row r="161">
      <c r="B161" s="1" t="inlineStr">
        <is>
          <t xml:space="preserve">MOSFET gate threshold for timing [typ, assumed]</t>
        </is>
      </c>
      <c r="C161" s="1" t="inlineStr">
        <is>
          <t xml:space="preserve">V.th</t>
        </is>
      </c>
      <c r="D161" s="2">
        <v>4.0</v>
      </c>
      <c r="E161" s="26" t="inlineStr">
        <is>
          <t xml:space="preserve">V</t>
        </is>
      </c>
    </row>
    <row r="162">
      <c r="B162" s="1" t="inlineStr">
        <is>
          <t xml:space="preserve">MOSFET gate threshold, min (DS, 250 uA)</t>
        </is>
      </c>
      <c r="C162" s="1" t="inlineStr">
        <is>
          <t xml:space="preserve">V.th.min</t>
        </is>
      </c>
      <c r="D162" s="2">
        <v>3.5</v>
      </c>
      <c r="E162" s="26" t="inlineStr">
        <is>
          <t xml:space="preserve">V</t>
        </is>
      </c>
    </row>
    <row r="163">
      <c r="B163" s="1" t="inlineStr">
        <is>
          <t xml:space="preserve">Miller charge over the bus swing, per device (C.rss integral 0 .. 163-325 V)</t>
        </is>
      </c>
      <c r="C163" s="1" t="inlineStr">
        <is>
          <t xml:space="preserve">Q.gd</t>
        </is>
      </c>
      <c r="D163" s="2">
        <v>13</v>
      </c>
      <c r="E163" s="26" t="inlineStr">
        <is>
          <t xml:space="preserve">nC</t>
        </is>
      </c>
    </row>
    <row r="164">
      <c r="B164" s="1" t="inlineStr">
        <is>
          <t xml:space="preserve">Bootstrap capacitor</t>
        </is>
      </c>
      <c r="C164" s="1" t="inlineStr">
        <is>
          <t xml:space="preserve">C.BOOT</t>
        </is>
      </c>
      <c r="D164" s="2">
        <v>470</v>
      </c>
      <c r="E164" s="26" t="inlineStr">
        <is>
          <t xml:space="preserve">nF</t>
        </is>
      </c>
    </row>
    <row r="165">
      <c r="B165" s="1" t="inlineStr">
        <is>
          <t xml:space="preserve">Bootstrap series resistor (0 = diode alone, taken as 0.5 ohm)</t>
        </is>
      </c>
      <c r="C165" s="1" t="inlineStr">
        <is>
          <t xml:space="preserve">R.BOOT</t>
        </is>
      </c>
      <c r="D165" s="2">
        <v>0</v>
      </c>
      <c r="E165" s="26" t="inlineStr">
        <is>
          <t xml:space="preserve">Ω</t>
        </is>
      </c>
    </row>
    <row r="166">
      <c r="B166" s="1" t="inlineStr">
        <is>
          <t xml:space="preserve">Bootstrap diode forward voltage</t>
        </is>
      </c>
      <c r="C166" s="1" t="inlineStr">
        <is>
          <t xml:space="preserve">V.F.BOOT</t>
        </is>
      </c>
      <c r="D166" s="2">
        <v>1.3</v>
      </c>
      <c r="E166" s="26" t="inlineStr">
        <is>
          <t xml:space="preserve">V</t>
        </is>
      </c>
    </row>
    <row r="167">
      <c r="B167" s="1" t="inlineStr">
        <is>
          <t xml:space="preserve">Dead time at start-up, before ADT (DS gives none - max ADT assumed)</t>
        </is>
      </c>
      <c r="C167" s="1" t="inlineStr">
        <is>
          <t xml:space="preserve">t.D.SU</t>
        </is>
      </c>
      <c r="D167" s="2">
        <v>420</v>
      </c>
      <c r="E167" s="26" t="inlineStr">
        <is>
          <t xml:space="preserve">ns</t>
        </is>
      </c>
    </row>
    <row r="168">
      <c r="B168" s="1" t="inlineStr">
        <is>
          <t xml:space="preserve">Dead time in run (Design Spec D47)</t>
        </is>
      </c>
      <c r="C168" s="1" t="inlineStr">
        <is>
          <t xml:space="preserve">t.D</t>
        </is>
      </c>
      <c r="D168" s="49">
        <f>'Design Spec'!D47</f>
      </c>
      <c r="E168" s="26" t="inlineStr">
        <is>
          <t xml:space="preserve">ns</t>
        </is>
      </c>
    </row>
    <row r="169">
      <c r="B169" s="20" t="inlineStr">
        <is>
          <t xml:space="preserve">Results</t>
        </is>
      </c>
      <c r="C169" s="20" t="inlineStr">
        <is>
          <t xml:space="preserve">Name</t>
        </is>
      </c>
      <c r="D169" s="20" t="inlineStr">
        <is>
          <t xml:space="preserve">Value</t>
        </is>
      </c>
      <c r="E169" s="20" t="inlineStr">
        <is>
          <t xml:space="preserve">Unit</t>
        </is>
      </c>
      <c r="F169" s="20" t="inlineStr">
        <is>
          <t xml:space="preserve">Check</t>
        </is>
      </c>
    </row>
    <row r="170">
      <c r="B170" s="1" t="inlineStr">
        <is>
          <t xml:space="preserve">Gate capacitance per position: n.par x C.g + C.gs.ext</t>
        </is>
      </c>
      <c r="C170" s="1" t="inlineStr">
        <is>
          <t xml:space="preserve">C.G</t>
        </is>
      </c>
      <c r="D170" s="49">
        <f>$D$68*D157+D147</f>
      </c>
      <c r="E170" s="26" t="inlineStr">
        <is>
          <t xml:space="preserve">nF</t>
        </is>
      </c>
    </row>
    <row r="171">
      <c r="B171" s="1" t="inlineStr">
        <is>
          <t xml:space="preserve">Internal gate resistance per position</t>
        </is>
      </c>
      <c r="C171" s="1" t="inlineStr">
        <is>
          <t xml:space="preserve">R.gi</t>
        </is>
      </c>
      <c r="D171" s="49">
        <f>D159/$D$68</f>
      </c>
      <c r="E171" s="26" t="inlineStr">
        <is>
          <t xml:space="preserve">Ω</t>
        </is>
      </c>
    </row>
    <row r="172">
      <c r="B172" s="1" t="inlineStr">
        <is>
          <t xml:space="preserve">Turn-off path, effective resistance</t>
        </is>
      </c>
      <c r="C172" s="1" t="inlineStr">
        <is>
          <t xml:space="preserve">R.off.eff</t>
        </is>
      </c>
      <c r="D172" s="49">
        <f>IF(D143=2,D145,IF(D145&gt;0,D145*D144/(D145+D144),D144))</f>
      </c>
      <c r="E172" s="26" t="inlineStr">
        <is>
          <t xml:space="preserve">Ω</t>
        </is>
      </c>
    </row>
    <row r="173">
      <c r="B173" s="1" t="inlineStr">
        <is>
          <t xml:space="preserve">Turn-off path, effective offset (the diode)</t>
        </is>
      </c>
      <c r="C173" s="1" t="inlineStr">
        <is>
          <t xml:space="preserve">V.off.eff</t>
        </is>
      </c>
      <c r="D173" s="49">
        <f>IF(D143=2,D146,IF(D145&gt;0,D146*D144/(D145+D144),0))</f>
      </c>
      <c r="E173" s="26" t="inlineStr">
        <is>
          <t xml:space="preserve">V</t>
        </is>
      </c>
    </row>
    <row r="174">
      <c r="B174" s="1" t="inlineStr">
        <is>
          <t xml:space="preserve">Turn-on time constant (R.so + R.on + R.gi) C.G</t>
        </is>
      </c>
      <c r="C174" s="1" t="inlineStr">
        <is>
          <t xml:space="preserve">τ.on</t>
        </is>
      </c>
      <c r="D174" s="49">
        <f>(D150+D144+D171)*D170</f>
      </c>
      <c r="E174" s="26" t="inlineStr">
        <is>
          <t xml:space="preserve">ns</t>
        </is>
      </c>
    </row>
    <row r="175">
      <c r="B175" s="1" t="inlineStr">
        <is>
          <t xml:space="preserve">Turn-off time constant (R.si + R.off.eff + R.gi) C.G</t>
        </is>
      </c>
      <c r="C175" s="1" t="inlineStr">
        <is>
          <t xml:space="preserve">τ.off</t>
        </is>
      </c>
      <c r="D175" s="49">
        <f>(D151+D172+D171)*D170</f>
      </c>
      <c r="E175" s="26" t="inlineStr">
        <is>
          <t xml:space="preserve">ns</t>
        </is>
      </c>
    </row>
    <row r="176">
      <c r="B176" s="1" t="inlineStr">
        <is>
          <t xml:space="preserve">Peak gate current, turn-on</t>
        </is>
      </c>
      <c r="C176" s="1" t="inlineStr">
        <is>
          <t xml:space="preserve">I.G.on.pk</t>
        </is>
      </c>
      <c r="D176" s="49">
        <f>D142/(D150+D144+D171)</f>
      </c>
      <c r="E176" s="26" t="inlineStr">
        <is>
          <t xml:space="preserve">A</t>
        </is>
      </c>
    </row>
    <row r="177">
      <c r="B177" s="1" t="inlineStr">
        <is>
          <t xml:space="preserve">Peak gate current, turn-off</t>
        </is>
      </c>
      <c r="C177" s="1" t="inlineStr">
        <is>
          <t xml:space="preserve">I.G.off.pk</t>
        </is>
      </c>
      <c r="D177" s="49">
        <f>(D142-D173)/(D151+D172+D171)</f>
      </c>
      <c r="E177" s="26" t="inlineStr">
        <is>
          <t xml:space="preserve">A</t>
        </is>
      </c>
    </row>
    <row r="178">
      <c r="B178" s="1" t="inlineStr">
        <is>
          <t xml:space="preserve">IC edge -&gt; channel on (V.th)</t>
        </is>
      </c>
      <c r="C178" s="1" t="inlineStr">
        <is>
          <t xml:space="preserve">t.on.th</t>
        </is>
      </c>
      <c r="D178" s="49">
        <f>D152+D174*LN(D142/(D142-D161))</f>
      </c>
      <c r="E178" s="26" t="inlineStr">
        <is>
          <t xml:space="preserve">ns</t>
        </is>
      </c>
    </row>
    <row r="179">
      <c r="B179" s="1" t="inlineStr">
        <is>
          <t xml:space="preserve">IC edge -&gt; plateau (channel can take the tank current)</t>
        </is>
      </c>
      <c r="C179" s="1" t="inlineStr">
        <is>
          <t xml:space="preserve">t.on.pl</t>
        </is>
      </c>
      <c r="D179" s="49">
        <f>D152+D174*LN(D142/(D142-D160))</f>
      </c>
      <c r="E179" s="26" t="inlineStr">
        <is>
          <t xml:space="preserve">ns</t>
        </is>
      </c>
    </row>
    <row r="180">
      <c r="B180" s="1" t="inlineStr">
        <is>
          <t xml:space="preserve">Gate voltage at the end of the f.SU pulse (T/2 - t.D.SU) - target &gt;= 10 V (RDS(on) spec)</t>
        </is>
      </c>
      <c r="C180" s="1" t="inlineStr">
        <is>
          <t xml:space="preserve">V.G.SU</t>
        </is>
      </c>
      <c r="D180" s="49">
        <f>D142*(1-EXP(-(10^6/(2*D123)-D167)/D174))</f>
      </c>
      <c r="E180" s="26" t="inlineStr">
        <is>
          <t xml:space="preserve">V</t>
        </is>
      </c>
      <c r="F180" s="1">
        <f>IF(D180&gt;=10,"OK","CHECK")</f>
      </c>
    </row>
    <row r="181">
      <c r="B181" s="1" t="inlineStr">
        <is>
          <t xml:space="preserve">Gate voltage at the end of the f.Max pulse (T/2 - t.D)</t>
        </is>
      </c>
      <c r="C181" s="1" t="inlineStr">
        <is>
          <t xml:space="preserve">V.G.Max</t>
        </is>
      </c>
      <c r="D181" s="49">
        <f>D142*(1-EXP(-(10^6/(2*D124)-D168)/D174))</f>
      </c>
      <c r="E181" s="26" t="inlineStr">
        <is>
          <t xml:space="preserve">V</t>
        </is>
      </c>
      <c r="F181" s="1">
        <f>IF(D181&gt;=10,"OK","CHECK")</f>
      </c>
    </row>
    <row r="182">
      <c r="B182" s="1" t="inlineStr">
        <is>
          <t xml:space="preserve">IC edge -&gt; plateau on the way down (from a full gate)</t>
        </is>
      </c>
      <c r="C182" s="1" t="inlineStr">
        <is>
          <t xml:space="preserve">t.off.pl</t>
        </is>
      </c>
      <c r="D182" s="49">
        <f>D152+D175*LN((D142-D173)/(D160-D173))</f>
      </c>
      <c r="E182" s="26" t="inlineStr">
        <is>
          <t xml:space="preserve">ns</t>
        </is>
      </c>
    </row>
    <row r="183">
      <c r="B183" s="1" t="inlineStr">
        <is>
          <t xml:space="preserve">IC edge -&gt; below V.th.min (channel firmly off)</t>
        </is>
      </c>
      <c r="C183" s="1" t="inlineStr">
        <is>
          <t xml:space="preserve">t.off.th</t>
        </is>
      </c>
      <c r="D183" s="49">
        <f>IF(D162&gt;D173,D152+D175*LN((D142-D173)/(D162-D173)),"never")</f>
      </c>
      <c r="E183" s="26" t="inlineStr">
        <is>
          <t xml:space="preserve">ns</t>
        </is>
      </c>
    </row>
    <row r="184">
      <c r="B184" s="1" t="inlineStr">
        <is>
          <t xml:space="preserve">Run midpoint swing at I.Lm.pk on V.bus.HB (Res. Tank Design D73)</t>
        </is>
      </c>
      <c r="C184" s="1" t="inlineStr">
        <is>
          <t xml:space="preserve">T.T.run</t>
        </is>
      </c>
      <c r="D184" s="49">
        <f>'Design Spec'!$D$46*D128/'Res. Tank Design'!D73/1000</f>
      </c>
      <c r="E184" s="26" t="inlineStr">
        <is>
          <t xml:space="preserve">ns</t>
        </is>
      </c>
    </row>
    <row r="185">
      <c r="B185" s="1" t="inlineStr">
        <is>
          <t xml:space="preserve">Dead time the IC must give in run: t.off.pl + T.T.run - t.on.th + MT (ADT 40-420 ns)</t>
        </is>
      </c>
      <c r="C185" s="1" t="inlineStr">
        <is>
          <t xml:space="preserve">t.D.need</t>
        </is>
      </c>
      <c r="D185" s="49">
        <f>(D182-D152)+D184-(D178-D152)+D153</f>
      </c>
      <c r="E185" s="26" t="inlineStr">
        <is>
          <t xml:space="preserve">ns</t>
        </is>
      </c>
      <c r="F185" s="1">
        <f>IF(AND(D185&gt;=40,D185&lt;=420),"OK","CHECK")</f>
      </c>
    </row>
    <row r="186">
      <c r="B186" s="1" t="inlineStr">
        <is>
          <t xml:space="preserve">Turn-off delay to the plateau at f.SU (gate from V.G.SU)</t>
        </is>
      </c>
      <c r="C186" s="1" t="inlineStr">
        <is>
          <t xml:space="preserve">t.off.SU</t>
        </is>
      </c>
      <c r="D186" s="49">
        <f>D175*LN((D180-D173)/(D160-D173))</f>
      </c>
      <c r="E186" s="26" t="inlineStr">
        <is>
          <t xml:space="preserve">ns</t>
        </is>
      </c>
    </row>
    <row r="187">
      <c r="B187" s="1" t="inlineStr">
        <is>
          <t xml:space="preserve">Start-up ZVS window FB, low end: incoming channel on after the swing</t>
        </is>
      </c>
      <c r="C187" s="1" t="inlineStr">
        <is>
          <t xml:space="preserve">t.D.SU.lo.FB</t>
        </is>
      </c>
      <c r="D187" s="49">
        <f>D186+D135-(D178-D152)+D153</f>
      </c>
      <c r="E187" s="26" t="inlineStr">
        <is>
          <t xml:space="preserve">ns</t>
        </is>
      </c>
    </row>
    <row r="188">
      <c r="B188" s="1" t="inlineStr">
        <is>
          <t xml:space="preserve">Start-up ZVS window HB, low end</t>
        </is>
      </c>
      <c r="C188" s="1" t="inlineStr">
        <is>
          <t xml:space="preserve">t.D.SU.lo.HB</t>
        </is>
      </c>
      <c r="D188" s="49">
        <f>D186+D136-(D178-D152)+D153</f>
      </c>
      <c r="E188" s="26" t="inlineStr">
        <is>
          <t xml:space="preserve">ns</t>
        </is>
      </c>
    </row>
    <row r="189">
      <c r="B189" s="1" t="inlineStr">
        <is>
          <t xml:space="preserve">Start-up ZVS window, high end: incoming at the plateau before the current reverses (T/4)</t>
        </is>
      </c>
      <c r="C189" s="1" t="inlineStr">
        <is>
          <t xml:space="preserve">t.D.SU.hi</t>
        </is>
      </c>
      <c r="D189" s="49">
        <f>D186+10^6/(4*D123)-(D179-D152)-D153</f>
      </c>
      <c r="E189" s="26" t="inlineStr">
        <is>
          <t xml:space="preserve">ns</t>
        </is>
      </c>
      <c r="F189" s="1">
        <f>IF(AND(D167&gt;=MAX(D187,D188),D167&lt;=D189),"OK","CHECK")</f>
      </c>
    </row>
    <row r="190">
      <c r="B190" s="1" t="inlineStr">
        <is>
          <t xml:space="preserve">Energy lost per turn-on at f.Max: C.G V.G (V.DRV - V.G / 2)</t>
        </is>
      </c>
      <c r="C190" s="1" t="inlineStr">
        <is>
          <t xml:space="preserve">E.on</t>
        </is>
      </c>
      <c r="D190" s="49">
        <f>D170*D181*(D142-D181/2)</f>
      </c>
      <c r="E190" s="26" t="inlineStr">
        <is>
          <t xml:space="preserve">nJ</t>
        </is>
      </c>
    </row>
    <row r="191">
      <c r="B191" s="1" t="inlineStr">
        <is>
          <t xml:space="preserve">Energy lost per turn-off at f.Max: C.G V.G^2 / 2</t>
        </is>
      </c>
      <c r="C191" s="1" t="inlineStr">
        <is>
          <t xml:space="preserve">E.off</t>
        </is>
      </c>
      <c r="D191" s="49">
        <f>D170*D181^2/2</f>
      </c>
      <c r="E191" s="26" t="inlineStr">
        <is>
          <t xml:space="preserve">nJ</t>
        </is>
      </c>
    </row>
    <row r="192">
      <c r="B192" s="1" t="inlineStr">
        <is>
          <t xml:space="preserve">Driver power at f.Max, both positions of one L6498 + quiescent</t>
        </is>
      </c>
      <c r="C192" s="1" t="inlineStr">
        <is>
          <t xml:space="preserve">P.drv</t>
        </is>
      </c>
      <c r="D192" s="49">
        <f>2*(D190*D150/(D150+D144+D171)+D191*D151/(D151+D172+D171))*D124*10^-6+D154*D142/1000</f>
      </c>
      <c r="E192" s="26" t="inlineStr">
        <is>
          <t xml:space="preserve">W</t>
        </is>
      </c>
    </row>
    <row r="193">
      <c r="B193" s="1" t="inlineStr">
        <is>
          <t xml:space="preserve">Driver junction at f.Max: Ta.drv + P.drv Rth - target &lt;= 125 ˚C (DS recommended)</t>
        </is>
      </c>
      <c r="C193" s="1" t="inlineStr">
        <is>
          <t xml:space="preserve">Tj.drv</t>
        </is>
      </c>
      <c r="D193" s="49">
        <f>D156+D192*D155</f>
      </c>
      <c r="E193" s="26" t="inlineStr">
        <is>
          <t xml:space="preserve">˚C</t>
        </is>
      </c>
      <c r="F193" s="1">
        <f>IF(D193&lt;=125,"OK","CHECK")</f>
      </c>
    </row>
    <row r="194">
      <c r="B194" s="1" t="inlineStr">
        <is>
          <t xml:space="preserve">Driver power at f.SU (start-up, a few ms)</t>
        </is>
      </c>
      <c r="C194" s="1" t="inlineStr">
        <is>
          <t xml:space="preserve">P.drv.SU</t>
        </is>
      </c>
      <c r="D194" s="49">
        <f>2*(D170*D180*(D142-D180/2)*D150/(D150+D144+D171)+D170*D180^2/2*D151/(D151+D172+D171))*D123*10^-6+D154*D142/1000</f>
      </c>
      <c r="E194" s="26" t="inlineStr">
        <is>
          <t xml:space="preserve">W</t>
        </is>
      </c>
    </row>
    <row r="195">
      <c r="B195" s="1" t="inlineStr">
        <is>
          <t xml:space="preserve">R.on dissipation at f.Max (turn-on share + its turn-off share with Conf 1)</t>
        </is>
      </c>
      <c r="C195" s="1" t="inlineStr">
        <is>
          <t xml:space="preserve">P.R.on</t>
        </is>
      </c>
      <c r="D195" s="49">
        <f>(D190*D144/(D150+D144+D171)+IF(D143=1,D191*D172/(D151+D172+D171)*D172/D144,0))*D124*10^-6</f>
      </c>
      <c r="E195" s="26" t="inlineStr">
        <is>
          <t xml:space="preserve">W</t>
        </is>
      </c>
      <c r="F195" s="1">
        <f>IF(D195&lt;=0.5*D148,"OK","CHECK")</f>
      </c>
    </row>
    <row r="196">
      <c r="B196" s="1" t="inlineStr">
        <is>
          <t xml:space="preserve">R.off dissipation at f.Max - target &lt;= 50 % of its rating</t>
        </is>
      </c>
      <c r="C196" s="1" t="inlineStr">
        <is>
          <t xml:space="preserve">P.R.off</t>
        </is>
      </c>
      <c r="D196" s="49">
        <f>IF(D145&gt;0,D191*D172/(D151+D172+D171)*D172/D145*D124*10^-6,0)</f>
      </c>
      <c r="E196" s="26" t="inlineStr">
        <is>
          <t xml:space="preserve">W</t>
        </is>
      </c>
      <c r="F196" s="1">
        <f>IF(D196&lt;=0.5*D149,"OK","CHECK")</f>
      </c>
    </row>
    <row r="197">
      <c r="B197" s="1" t="inlineStr">
        <is>
          <t xml:space="preserve">Turn-off diode average current at f.Max</t>
        </is>
      </c>
      <c r="C197" s="1" t="inlineStr">
        <is>
          <t xml:space="preserve">I.D.off.avg</t>
        </is>
      </c>
      <c r="D197" s="49">
        <f>IF(D145&gt;0,D170*D181*D124*IF(D143=2,1,D144/(D145+D144))/1000,0)</f>
      </c>
      <c r="E197" s="26" t="inlineStr">
        <is>
          <t xml:space="preserve">mA</t>
        </is>
      </c>
    </row>
    <row r="198">
      <c r="B198" s="1" t="inlineStr">
        <is>
          <t xml:space="preserve">Miller bump on an OFF gate, upper bound (no sink): Q.gd / (C.gs + C.gs.ext)</t>
        </is>
      </c>
      <c r="C198" s="1" t="inlineStr">
        <is>
          <t xml:space="preserve">ΔV.GS.Miller</t>
        </is>
      </c>
      <c r="D198" s="49">
        <f>$D$68*D163/($D$68*D158+D147)</f>
      </c>
      <c r="E198" s="26" t="inlineStr">
        <is>
          <t xml:space="preserve">V</t>
        </is>
      </c>
    </row>
    <row r="199">
      <c r="B199" s="1" t="inlineStr">
        <is>
          <t xml:space="preserve">Miller margin V.th.min / ΔV.GS.Miller - target &gt; 1 (ringing adds to it)</t>
        </is>
      </c>
      <c r="C199" s="1" t="inlineStr">
        <is>
          <t xml:space="preserve">k.Miller</t>
        </is>
      </c>
      <c r="D199" s="49">
        <f>D162/D198</f>
      </c>
      <c r="E199" s="26" t="inlineStr">
        <is>
          <t xml:space="preserve">-</t>
        </is>
      </c>
      <c r="F199" s="1">
        <f>IF(D199&gt;=1,"OK","CHECK")</f>
      </c>
    </row>
    <row r="200">
      <c r="B200" s="1" t="inlineStr">
        <is>
          <t xml:space="preserve">Bootstrap time constant</t>
        </is>
      </c>
      <c r="C200" s="1" t="inlineStr">
        <is>
          <t xml:space="preserve">τ.BOOT</t>
        </is>
      </c>
      <c r="D200" s="49">
        <f>MAX(D165,0.5)*D164</f>
      </c>
      <c r="E200" s="26" t="inlineStr">
        <is>
          <t xml:space="preserve">ns</t>
        </is>
      </c>
    </row>
    <row r="201">
      <c r="B201" s="1" t="inlineStr">
        <is>
          <t xml:space="preserve">First LOUT pulse at start-up (T/2 - t.D.SU; the IC may lengthen it, DS 5.2.3)</t>
        </is>
      </c>
      <c r="C201" s="1" t="inlineStr">
        <is>
          <t xml:space="preserve">t.LOUT1</t>
        </is>
      </c>
      <c r="D201" s="49">
        <f>10^6/(2*D123)-D167</f>
      </c>
      <c r="E201" s="26" t="inlineStr">
        <is>
          <t xml:space="preserve">ns</t>
        </is>
      </c>
    </row>
    <row r="202">
      <c r="B202" s="1" t="inlineStr">
        <is>
          <t xml:space="preserve">V.BS after the first LOUT pulse from an empty C.BOOT - target &gt;= 9.1 V (VBO_thON max)</t>
        </is>
      </c>
      <c r="C202" s="1" t="inlineStr">
        <is>
          <t xml:space="preserve">V.BS.1</t>
        </is>
      </c>
      <c r="D202" s="49">
        <f>(D142-D166)*(1-EXP(-D201/D200))</f>
      </c>
      <c r="E202" s="26" t="inlineStr">
        <is>
          <t xml:space="preserve">V</t>
        </is>
      </c>
      <c r="F202" s="1">
        <f>IF(D202&gt;=9.1,"OK","CHECK")</f>
      </c>
    </row>
    <row r="203">
      <c r="B203" s="1" t="inlineStr">
        <is>
          <t xml:space="preserve">V.BS drop per high-side pulse at f.SU: gate charge + 120 uA floating quiescent</t>
        </is>
      </c>
      <c r="C203" s="1" t="inlineStr">
        <is>
          <t xml:space="preserve">ΔV.BS</t>
        </is>
      </c>
      <c r="D203" s="49">
        <f>D170*D180/D164+0.00012*D201/D164</f>
      </c>
      <c r="E203" s="26" t="inlineStr">
        <is>
          <t xml:space="preserve">V</t>
        </is>
      </c>
    </row>
    <row r="204">
      <c r="B204" s="1" t="inlineStr">
        <is>
          <t xml:space="preserve">V.BS minimum, steady at f.SU (recharge each LOUT pulse) - target &gt;= 10 V</t>
        </is>
      </c>
      <c r="C204" s="1" t="inlineStr">
        <is>
          <t xml:space="preserve">V.BS.min</t>
        </is>
      </c>
      <c r="D204" s="49">
        <f>D142-D166-D203*EXP(-D201/D200)/(1-EXP(-D201/D200))-D203</f>
      </c>
      <c r="E204" s="26" t="inlineStr">
        <is>
          <t xml:space="preserve">V</t>
        </is>
      </c>
      <c r="F204" s="1">
        <f>IF(D204&gt;=10,"OK","CHECK")</f>
      </c>
    </row>
    <row r="205">
      <c r="B205" s="1" t="inlineStr">
        <is>
          <t xml:space="preserve">C.BOOT / C.G - target &gt;= 10 (DS: C.BOOT &gt;&gt;&gt; C.EXT)</t>
        </is>
      </c>
      <c r="C205" s="1" t="inlineStr">
        <is>
          <t xml:space="preserve">k.CBOOT</t>
        </is>
      </c>
      <c r="D205" s="49">
        <f>D164/D170</f>
      </c>
      <c r="E205" s="26" t="inlineStr">
        <is>
          <t xml:space="preserve">-</t>
        </is>
      </c>
      <c r="F205" s="1">
        <f>IF(D205&gt;=10,"OK","CHECK")</f>
      </c>
    </row>
    <row r="206">
      <c r="B206" s="1" t="inlineStr">
        <is>
          <t xml:space="preserve">Peak charging current into an empty C.BOOT (check the diode I.FSM)</t>
        </is>
      </c>
      <c r="C206" s="1" t="inlineStr">
        <is>
          <t xml:space="preserve">I.BOOT.pk</t>
        </is>
      </c>
      <c r="D206" s="49">
        <f>(D142-D166)/MAX(D165,0.5)</f>
      </c>
      <c r="E206" s="26" t="inlineStr">
        <is>
          <t xml:space="preserve">A</t>
        </is>
      </c>
    </row>
    <row r="207">
      <c r="B207" s="1" t="inlineStr">
        <is>
          <t xml:space="preserve">Bootstrap resistor dissipation at f.Max</t>
        </is>
      </c>
      <c r="C207" s="1" t="inlineStr">
        <is>
          <t xml:space="preserve">P.R.BOOT</t>
        </is>
      </c>
      <c r="D207" s="49">
        <f>IF(D165&gt;0,D164*(D170*D181/D164)^2/2*D124*10^-6,0)</f>
      </c>
      <c r="E207" s="26" t="inlineStr">
        <is>
          <t xml:space="preserve">W</t>
        </is>
      </c>
    </row>
    <row r="208">
      <c r="B208" s="1" t="inlineStr">
        <is>
          <t xml:space="preserve">Bootstrap diode reverse voltage needed: V.bus.HB + V.DRV (+ ringing margin)</t>
        </is>
      </c>
      <c r="C208" s="1" t="inlineStr">
        <is>
          <t xml:space="preserve">V.RRM.BOOT</t>
        </is>
      </c>
      <c r="D208" s="49">
        <f>D128+D142</f>
      </c>
      <c r="E208" s="26" t="inlineStr">
        <is>
          <t xml:space="preserve">V</t>
        </is>
      </c>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