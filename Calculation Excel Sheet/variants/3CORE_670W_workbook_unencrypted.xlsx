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<sst xmlns="http://schemas.openxmlformats.org/spreadsheetml/2006/main" count="2127" uniqueCount="1232">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</sst>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156</xdr:row>
      <xdr:rowOff>171360</xdr:rowOff>
    </xdr:from>
    <xdr:to>
      <xdr:col>1</xdr:col>
      <xdr:colOff>2876760</xdr:colOff>
      <xdr:row>170</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156</xdr:row>
      <xdr:rowOff>56160</xdr:rowOff>
    </xdr:from>
    <xdr:to>
      <xdr:col>4</xdr:col>
      <xdr:colOff>303840</xdr:colOff>
      <xdr:row>170</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7</xdr:col>
      <xdr:colOff>76200</xdr:colOff>
      <xdr:row>103</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11); primary MOSFET as the guide, SR as the board.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11</t>
        </is>
      </c>
      <c r="F159" s="8" t="inlineStr">
        <is>
          <t xml:space="preserve">n.Cout - Rubycon PX 6800 uF / 35 V, 18 x 35.5 mm; 11 (user 2026-10-18: 16 do not fit). Ripple current 2.62 A rms each against the PX rating 1.92 A at 120 Hz / 105 C (x 1.15 above 10 kHz = 2.21 A) - over the rating; check the can temperature on the board</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220</t>
        </is>
      </c>
      <c r="F168" s="8" t="inlineStr">
        <is>
          <t xml:space="preserve">C.Fo, nF - compensation re-scaled (zero and pole kept) for the UPC1008 CTR and the 11-capacitor plant, the set picked for a low 3rd harmonic (user 2026-10-18): f.cross 12.6 Hz, phase margin 48.9 deg, 3rd harmonic 2.76 %</t>
        </is>
      </c>
    </row>
    <row r="169">
      <c r="B169" s="8" t="inlineStr">
        <is>
          <t xml:space="preserve">CompensationNet&amp;Check</t>
        </is>
      </c>
      <c r="C169" s="8" t="inlineStr">
        <is>
          <t xml:space="preserve">F94</t>
        </is>
      </c>
      <c r="D169" s="8" t="inlineStr">
        <is>
          <t xml:space="preserve">560</t>
        </is>
      </c>
      <c r="E169" s="8" t="inlineStr">
        <is>
          <t xml:space="preserve">1500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18</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row r="181">
      <c r="F181" s="8" t="inlineStr">
        <is>
          <t xml:space="preserve">gate driver selection in the switch section, start-up in Res. Tank Design - ADDED (user, 2026-10-22). Power Components rows inserted (xl_rows.py, every reference followed): 76-82 the switch gate data (STO60N045DM9: C.g 7.5 nF Qg slope, C.gs 4.76 nF, R.g 4.5, V.pl 6.3, V.th 4.0 / 3.5, Q.gd 13 nC); 88-132 LLC Half Bridge Gate Driver Selection - part number, driver datasheet values (L6498LD: 1.4 / 1.55 A at 15 V, 10-20 V, 85 ns, MT 30 ns, no internal dead time, 800 kHz, 0.6 mA, 120 K/W, 125 C, V.BO 9.3 V), gate network (Value = recommendation, Selected Value = design sheet section 14c.1: V.CC_reg_max 14.35 V, R.G 4.7, R.G_off 2.2 ohm + 1N4148W, C.BOOT 470 nF, ES1J (V.F 1.3 V) with no series resistor, G = OK / CHECK and the allowed range), results with G = OK / CHECK and the limit, schematic at column H. Old rows 76-80 are now 83-87 and old 81-119 (the secondary section) 133-171; CHANGELOG entries above this line name the old rows. Res. Tank Design 81-87: start-up I.su, k.su.OCP2, k.su.OCP1, f.su.OCP1. CC 77-137: the working (gate_budget.py model).</t>
        </is>
      </c>
    </row>
    <row r="182">
      <c r="B182" s="8" t="inlineStr">
        <is>
          <t xml:space="preserve">Power Components</t>
        </is>
      </c>
      <c r="C182" s="8" t="inlineStr">
        <is>
          <t xml:space="preserve">B76:E82</t>
        </is>
      </c>
      <c r="F182" s="8" t="inlineStr">
        <is>
          <t xml:space="preserve">switch gate data (yellow)</t>
        </is>
      </c>
    </row>
    <row r="183">
      <c r="B183" s="8" t="inlineStr">
        <is>
          <t xml:space="preserve">Power Components</t>
        </is>
      </c>
      <c r="C183" s="8" t="inlineStr">
        <is>
          <t xml:space="preserve">B88:G132</t>
        </is>
      </c>
      <c r="F183" s="8" t="inlineStr">
        <is>
          <t xml:space="preserve">gate driver selection</t>
        </is>
      </c>
    </row>
    <row r="184">
      <c r="B184" s="8" t="inlineStr">
        <is>
          <t xml:space="preserve">Res. Tank Design</t>
        </is>
      </c>
      <c r="C184" s="8" t="inlineStr">
        <is>
          <t xml:space="preserve">B81:F87</t>
        </is>
      </c>
      <c r="F184" s="8" t="inlineStr">
        <is>
          <t xml:space="preserve">start-up: I.su, k.su.OCP2, k.su.OCP1, f.su.OCP1</t>
        </is>
      </c>
    </row>
    <row r="185">
      <c r="B185" s="8" t="inlineStr">
        <is>
          <t xml:space="preserve">CC</t>
        </is>
      </c>
      <c r="C185" s="8" t="inlineStr">
        <is>
          <t xml:space="preserve">B77:D137</t>
        </is>
      </c>
      <c r="F185"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MAX(CC!$C$79,SQRT(2)*'Design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Lowest f before OCP1 while V.out is low</t>
        </is>
      </c>
      <c r="C87" s="1" t="inlineStr">
        <is>
          <t xml:space="preserve">f.su.OCP1</t>
        </is>
      </c>
      <c r="D87" s="49">
        <f>PI()*D55/(2*ATAN('Device Setting'!$D$49*D52/MAX(CC!$C$79,SQRT(2)*'Design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71"/>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11</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spans="2:14" ht="15.75" customHeight="1">
      <c r="B83" s="20" t="s">
        <v>356</v>
      </c>
      <c r="C83" s="20" t="s">
        <v>132</v>
      </c>
      <c r="D83" s="20" t="s">
        <v>133</v>
      </c>
      <c r="E83" s="20" t="s">
        <v>134</v>
      </c>
      <c r="F83" s="76"/>
      <c r="G83" s="76"/>
      <c r="H83" s="76"/>
      <c r="I83" s="76"/>
      <c r="J83" s="76"/>
      <c r="K83" s="76"/>
      <c r="L83" s="76"/>
      <c r="M83" s="76"/>
      <c r="N83" s="76"/>
    </row>
    <row r="84" spans="2:14" ht="14.25" customHeight="1">
      <c r="B84" s="1" t="s">
        <v>426</v>
      </c>
      <c r="C84" s="1" t="s">
        <v>427</v>
      </c>
      <c r="D84" s="1">
        <f>(2*D71)+D72</f>
        <v>1804</v>
      </c>
      <c r="E84" s="1" t="s">
        <v>194</v>
      </c>
      <c r="F84" s="76"/>
      <c r="G84" s="76"/>
      <c r="H84" s="76"/>
      <c r="I84" s="76"/>
      <c r="J84" s="76"/>
      <c r="K84" s="76"/>
      <c r="L84" s="76"/>
      <c r="M84" s="76"/>
      <c r="N84" s="76"/>
    </row>
    <row r="85" spans="2:14" ht="15" customHeight="1">
      <c r="B85" s="1" t="s">
        <v>1193</v>
      </c>
      <c r="C85" s="1" t="s">
        <v>428</v>
      </c>
      <c r="D85" s="200">
        <f>D70*D58*D62^2</f>
        <v>4.8234434836050069</v>
      </c>
      <c r="E85" s="1" t="s">
        <v>161</v>
      </c>
      <c r="F85" s="76"/>
      <c r="G85" s="76"/>
      <c r="H85" s="76"/>
      <c r="I85" s="76"/>
      <c r="J85" s="76"/>
      <c r="K85" s="76"/>
      <c r="L85" s="76"/>
      <c r="M85" s="76"/>
      <c r="N85" s="76"/>
    </row>
    <row r="86" spans="2:14" ht="15" customHeight="1">
      <c r="B86" s="1" t="s">
        <v>1194</v>
      </c>
      <c r="C86" s="1" t="s">
        <v>1195</v>
      </c>
      <c r="D86" s="200">
        <f>D70*D58*(D60/D68)^2</f>
        <v>9.6468869672100155</v>
      </c>
      <c r="E86" s="1" t="s">
        <v>161</v>
      </c>
      <c r="F86" s="76"/>
      <c r="G86" s="76"/>
      <c r="H86" s="76"/>
      <c r="I86" s="76"/>
      <c r="J86" s="76"/>
      <c r="K86" s="76"/>
      <c r="L86" s="76"/>
      <c r="M86" s="76"/>
      <c r="N86" s="76"/>
    </row>
    <row r="87" spans="2:14" ht="14.25" customHeight="1">
      <c r="B87" s="1" t="s">
        <v>1211</v>
      </c>
      <c r="C87" s="1" t="s">
        <v>429</v>
      </c>
      <c r="D87" s="200">
        <f>(125-D73)/MAX(D85,D86)</f>
        <v>10.366038323026094</v>
      </c>
      <c r="E87" s="1" t="s">
        <v>430</v>
      </c>
      <c r="F87" s="76"/>
      <c r="G87" s="76"/>
      <c r="H87" s="76"/>
      <c r="I87" s="76"/>
      <c r="J87" s="76"/>
      <c r="K87" s="76"/>
      <c r="L87" s="76"/>
      <c r="M87" s="76"/>
      <c r="N87" s="76"/>
    </row>
    <row r="88">
      <c r="B88" s="19" t="inlineStr">
        <is>
          <t xml:space="preserve">LLC Half Bridge Gate Driver Selection</t>
        </is>
      </c>
    </row>
    <row r="89">
      <c r="B89" s="20" t="inlineStr">
        <is>
          <t xml:space="preserve">Please Select a dedicated Gate Driver part number </t>
        </is>
      </c>
      <c r="C89" s="202" t="inlineStr">
        <is>
          <t xml:space="preserve">L6498LD</t>
        </is>
      </c>
      <c r="D89" s="202"/>
      <c r="E89" s="202"/>
    </row>
    <row r="90">
      <c r="B90" s="20" t="inlineStr">
        <is>
          <t xml:space="preserve">Parameter</t>
        </is>
      </c>
      <c r="C90" s="20" t="inlineStr">
        <is>
          <t xml:space="preserve">Name</t>
        </is>
      </c>
      <c r="D90" s="20" t="inlineStr">
        <is>
          <t xml:space="preserve">Value</t>
        </is>
      </c>
      <c r="E90" s="20" t="inlineStr">
        <is>
          <t xml:space="preserve">Unit</t>
        </is>
      </c>
    </row>
    <row r="91">
      <c r="B91" s="1" t="inlineStr">
        <is>
          <t xml:space="preserve">Source current, min (full temperature)</t>
        </is>
      </c>
      <c r="C91" s="1" t="inlineStr">
        <is>
          <t xml:space="preserve">I.so</t>
        </is>
      </c>
      <c r="D91" s="2">
        <v>1.4</v>
      </c>
      <c r="E91" s="26" t="inlineStr">
        <is>
          <t xml:space="preserve">A</t>
        </is>
      </c>
    </row>
    <row r="92">
      <c r="B92" s="1" t="inlineStr">
        <is>
          <t xml:space="preserve">Sink current, min (full temperature)</t>
        </is>
      </c>
      <c r="C92" s="1" t="inlineStr">
        <is>
          <t xml:space="preserve">I.si</t>
        </is>
      </c>
      <c r="D92" s="2">
        <v>1.55</v>
      </c>
      <c r="E92" s="26" t="inlineStr">
        <is>
          <t xml:space="preserve">A</t>
        </is>
      </c>
    </row>
    <row r="93">
      <c r="B93" s="1" t="inlineStr">
        <is>
          <t xml:space="preserve">Supply voltage those currents are given at</t>
        </is>
      </c>
      <c r="C93" s="1" t="inlineStr">
        <is>
          <t xml:space="preserve">V.test</t>
        </is>
      </c>
      <c r="D93" s="2">
        <v>15</v>
      </c>
      <c r="E93" s="26" t="inlineStr">
        <is>
          <t xml:space="preserve">V</t>
        </is>
      </c>
    </row>
    <row r="94">
      <c r="B94" s="1" t="inlineStr">
        <is>
          <t xml:space="preserve">Supply voltage, recommended min</t>
        </is>
      </c>
      <c r="C94" s="1" t="inlineStr">
        <is>
          <t xml:space="preserve">V.cc.min</t>
        </is>
      </c>
      <c r="D94" s="2">
        <v>10</v>
      </c>
      <c r="E94" s="26" t="inlineStr">
        <is>
          <t xml:space="preserve">V</t>
        </is>
      </c>
    </row>
    <row r="95">
      <c r="B95" s="1" t="inlineStr">
        <is>
          <t xml:space="preserve">Supply voltage, recommended max</t>
        </is>
      </c>
      <c r="C95" s="1" t="inlineStr">
        <is>
          <t xml:space="preserve">V.cc.max</t>
        </is>
      </c>
      <c r="D95" s="2">
        <v>20</v>
      </c>
      <c r="E95" s="26" t="inlineStr">
        <is>
          <t xml:space="preserve">V</t>
        </is>
      </c>
    </row>
    <row r="96">
      <c r="B96" s="1" t="inlineStr">
        <is>
          <t xml:space="preserve">Propagation delay, typ</t>
        </is>
      </c>
      <c r="C96" s="1" t="inlineStr">
        <is>
          <t xml:space="preserve">t.pd</t>
        </is>
      </c>
      <c r="D96" s="2">
        <v>85</v>
      </c>
      <c r="E96" s="26" t="inlineStr">
        <is>
          <t xml:space="preserve">ns</t>
        </is>
      </c>
    </row>
    <row r="97">
      <c r="B97" s="1" t="inlineStr">
        <is>
          <t xml:space="preserve">Delay matching, max</t>
        </is>
      </c>
      <c r="C97" s="1" t="inlineStr">
        <is>
          <t xml:space="preserve">MT</t>
        </is>
      </c>
      <c r="D97" s="2">
        <v>30</v>
      </c>
      <c r="E97" s="26" t="inlineStr">
        <is>
          <t xml:space="preserve">ns</t>
        </is>
      </c>
    </row>
    <row r="98">
      <c r="B98" s="1" t="inlineStr">
        <is>
          <t xml:space="preserve">Internal dead time (0 = none, interlocking only)</t>
        </is>
      </c>
      <c r="C98" s="1" t="inlineStr">
        <is>
          <t xml:space="preserve">t.DT</t>
        </is>
      </c>
      <c r="D98" s="2">
        <v>0</v>
      </c>
      <c r="E98" s="26" t="inlineStr">
        <is>
          <t xml:space="preserve">ns</t>
        </is>
      </c>
    </row>
    <row r="99">
      <c r="B99" s="1" t="inlineStr">
        <is>
          <t xml:space="preserve">Maximum switching frequency</t>
        </is>
      </c>
      <c r="C99" s="1" t="inlineStr">
        <is>
          <t xml:space="preserve">f.max</t>
        </is>
      </c>
      <c r="D99" s="2">
        <v>800</v>
      </c>
      <c r="E99" s="26" t="inlineStr">
        <is>
          <t xml:space="preserve">kHz</t>
        </is>
      </c>
    </row>
    <row r="100">
      <c r="B100" s="1" t="inlineStr">
        <is>
          <t xml:space="preserve">Quiescent current, VCC + floating, max</t>
        </is>
      </c>
      <c r="C100" s="1" t="inlineStr">
        <is>
          <t xml:space="preserve">I.Q</t>
        </is>
      </c>
      <c r="D100" s="2">
        <v>0.6</v>
      </c>
      <c r="E100" s="26" t="inlineStr">
        <is>
          <t xml:space="preserve">mA</t>
        </is>
      </c>
    </row>
    <row r="101">
      <c r="B101" s="1" t="inlineStr">
        <is>
          <t xml:space="preserve">Thermal resistance junction-ambient</t>
        </is>
      </c>
      <c r="C101" s="1" t="inlineStr">
        <is>
          <t xml:space="preserve">Rth.drv</t>
        </is>
      </c>
      <c r="D101" s="2">
        <v>120</v>
      </c>
      <c r="E101" s="26" t="inlineStr">
        <is>
          <t xml:space="preserve">˚C/W</t>
        </is>
      </c>
    </row>
    <row r="102">
      <c r="B102" s="1" t="inlineStr">
        <is>
          <t xml:space="preserve">Junction temperature, recommended max</t>
        </is>
      </c>
      <c r="C102" s="1" t="inlineStr">
        <is>
          <t xml:space="preserve">Tj.max</t>
        </is>
      </c>
      <c r="D102" s="2">
        <v>125</v>
      </c>
      <c r="E102" s="26" t="inlineStr">
        <is>
          <t xml:space="preserve">˚C</t>
        </is>
      </c>
    </row>
    <row r="103">
      <c r="B103" s="1" t="inlineStr">
        <is>
          <t xml:space="preserve">Floating (bootstrap) supply, recommended min</t>
        </is>
      </c>
      <c r="C103" s="1" t="inlineStr">
        <is>
          <t xml:space="preserve">V.bo.min</t>
        </is>
      </c>
      <c r="D103" s="2">
        <v>9.3</v>
      </c>
      <c r="E103" s="26" t="inlineStr">
        <is>
          <t xml:space="preserve">V</t>
        </is>
      </c>
    </row>
    <row r="104">
      <c r="B104" s="20" t="inlineStr">
        <is>
          <t xml:space="preserve">Parameter</t>
        </is>
      </c>
      <c r="C104" s="20" t="inlineStr">
        <is>
          <t xml:space="preserve">Name</t>
        </is>
      </c>
      <c r="D104" s="20" t="inlineStr">
        <is>
          <t xml:space="preserve">Value</t>
        </is>
      </c>
      <c r="E104" s="20" t="inlineStr">
        <is>
          <t xml:space="preserve">Unit</t>
        </is>
      </c>
      <c r="F104" s="20" t="inlineStr">
        <is>
          <t xml:space="preserve">Selected Value</t>
        </is>
      </c>
      <c r="G104" s="20" t="inlineStr">
        <is>
          <t xml:space="preserve">Check   allowed range</t>
        </is>
      </c>
    </row>
    <row r="105">
      <c r="B105" s="1" t="inlineStr">
        <is>
          <t xml:space="preserve">Gate drive voltage</t>
        </is>
      </c>
      <c r="C105" s="1" t="inlineStr">
        <is>
          <t xml:space="preserve">V.drv</t>
        </is>
      </c>
      <c r="D105" s="49">
        <f>CC!$C$85</f>
      </c>
      <c r="E105" s="26" t="inlineStr">
        <is>
          <t xml:space="preserve">V</t>
        </is>
      </c>
      <c r="F105" s="2">
        <v>14.35</v>
      </c>
      <c r="G105" s="1">
        <f>IF(AND($F$105&gt;=CC!$C$83,$F$105&lt;=CC!$C$84),"OK","CHECK")&amp;"   "&amp;TEXT(CC!$C$83,"0.0")&amp;" - "&amp;TEXT(CC!$C$84,"0.0")&amp;" V"</f>
      </c>
    </row>
    <row r="106">
      <c r="B106" s="1" t="inlineStr">
        <is>
          <t xml:space="preserve">Turn-on resistor</t>
        </is>
      </c>
      <c r="C106" s="1" t="inlineStr">
        <is>
          <t xml:space="preserve">R.on</t>
        </is>
      </c>
      <c r="D106" s="49">
        <f>CC!$C$106</f>
      </c>
      <c r="E106" s="26" t="inlineStr">
        <is>
          <t xml:space="preserve">Ω</t>
        </is>
      </c>
      <c r="F106" s="2">
        <v>4.7</v>
      </c>
      <c r="G106" s="1">
        <f>IF(ISNUMBER(CC!$C$104),IF(AND($F$106&gt;=CC!$C$104,$F$106&lt;=CC!$C$105),"OK","CHECK")&amp;"   "&amp;TEXT(CC!$C$104,"0.0")&amp;" - "&amp;TEXT(CC!$C$105,"0.0")&amp;" Ω","CHECK   "&amp;CC!$C$104)</f>
      </c>
    </row>
    <row r="107">
      <c r="B107" s="1" t="inlineStr">
        <is>
          <t xml:space="preserve">Turn-off resistor (with D.off, or on GOFF)</t>
        </is>
      </c>
      <c r="C107" s="1" t="inlineStr">
        <is>
          <t xml:space="preserve">R.off</t>
        </is>
      </c>
      <c r="D107" s="49">
        <f>CC!$C$125</f>
      </c>
      <c r="E107" s="26" t="inlineStr">
        <is>
          <t xml:space="preserve">Ω</t>
        </is>
      </c>
      <c r="F107" s="2">
        <v>2.2</v>
      </c>
      <c r="G107" s="1">
        <f>IF(CC!$C$124="any","OK   no limit",IF(ISNUMBER(CC!$C$124),IF($F$107&lt;=CC!$C$124,"OK","CHECK")&amp;"   max "&amp;TEXT(CC!$C$124,"0.0")&amp;" Ω","CHECK   "&amp;CC!$C$124))</f>
      </c>
    </row>
    <row r="108">
      <c r="B108" s="1" t="inlineStr">
        <is>
          <t xml:space="preserve">D.off forward voltage (0 = separate GOFF pin)</t>
        </is>
      </c>
      <c r="C108" s="1" t="inlineStr">
        <is>
          <t xml:space="preserve">V.F</t>
        </is>
      </c>
      <c r="D108" s="49"/>
      <c r="E108" s="26" t="inlineStr">
        <is>
          <t xml:space="preserve">V</t>
        </is>
      </c>
      <c r="F108" s="2">
        <v>0.7</v>
      </c>
    </row>
    <row r="109">
      <c r="B109" s="1" t="inlineStr">
        <is>
          <t xml:space="preserve">Gate-source capacitor, option</t>
        </is>
      </c>
      <c r="C109" s="1" t="inlineStr">
        <is>
          <t xml:space="preserve">C.gs</t>
        </is>
      </c>
      <c r="D109" s="49">
        <f>CC!$C$114</f>
      </c>
      <c r="E109" s="26" t="inlineStr">
        <is>
          <t xml:space="preserve">nF</t>
        </is>
      </c>
      <c r="F109" s="2">
        <v>0</v>
      </c>
      <c r="G109" s="1">
        <f>IF($F$109&gt;=CC!$C$113,"OK","CHECK")&amp;"   min "&amp;TEXT(CC!$C$113,"0.0")&amp;" nF"</f>
      </c>
    </row>
    <row r="110">
      <c r="B110" s="1" t="inlineStr">
        <is>
          <t xml:space="preserve">Bootstrap capacitor</t>
        </is>
      </c>
      <c r="C110" s="1" t="inlineStr">
        <is>
          <t xml:space="preserve">C.boot</t>
        </is>
      </c>
      <c r="D110" s="49">
        <f>CC!$C$128</f>
      </c>
      <c r="E110" s="26" t="inlineStr">
        <is>
          <t xml:space="preserve">nF</t>
        </is>
      </c>
      <c r="F110" s="2">
        <v>470</v>
      </c>
      <c r="G110" s="1">
        <f>IF(AND($F$110&gt;=CC!$C$126,$F$110&lt;=CC!$C$127),"OK","CHECK")&amp;"   "&amp;TEXT(CC!$C$126,"0")&amp;" - "&amp;TEXT(CC!$C$127,"0")&amp;" nF"</f>
      </c>
    </row>
    <row r="111">
      <c r="B111" s="1" t="inlineStr">
        <is>
          <t xml:space="preserve">Bootstrap resistor (0 = diode alone)</t>
        </is>
      </c>
      <c r="C111" s="1" t="inlineStr">
        <is>
          <t xml:space="preserve">R.boot</t>
        </is>
      </c>
      <c r="D111" s="49">
        <f>CC!$C$131</f>
      </c>
      <c r="E111" s="26" t="inlineStr">
        <is>
          <t xml:space="preserve">Ω</t>
        </is>
      </c>
      <c r="F111" s="2">
        <v>0</v>
      </c>
      <c r="G111" s="1">
        <f>IF(ISNUMBER(CC!$C$130),IF($F$111&lt;=CC!$C$130,"OK","CHECK")&amp;"   max "&amp;TEXT(CC!$C$130,"0.0")&amp;" Ω","CHECK   "&amp;CC!$C$130)</f>
      </c>
    </row>
    <row r="112">
      <c r="B112" s="1" t="inlineStr">
        <is>
          <t xml:space="preserve">D.boot forward voltage</t>
        </is>
      </c>
      <c r="C112" s="1" t="inlineStr">
        <is>
          <t xml:space="preserve">V.F.boot</t>
        </is>
      </c>
      <c r="D112" s="49"/>
      <c r="E112" s="26" t="inlineStr">
        <is>
          <t xml:space="preserve">V</t>
        </is>
      </c>
      <c r="F112" s="2">
        <v>1.3</v>
      </c>
    </row>
    <row r="113">
      <c r="B113" s="20" t="inlineStr">
        <is>
          <t xml:space="preserve">Results</t>
        </is>
      </c>
      <c r="C113" s="20" t="inlineStr">
        <is>
          <t xml:space="preserve">Name</t>
        </is>
      </c>
      <c r="D113" s="20" t="inlineStr">
        <is>
          <t xml:space="preserve">Value</t>
        </is>
      </c>
      <c r="E113" s="20" t="inlineStr">
        <is>
          <t xml:space="preserve">Unit</t>
        </is>
      </c>
      <c r="G113" s="20" t="inlineStr">
        <is>
          <t xml:space="preserve">Check   limit</t>
        </is>
      </c>
    </row>
    <row r="114">
      <c r="B114" s="1" t="inlineStr">
        <is>
          <t xml:space="preserve">Gate on delay: IC edge -&gt; channel on</t>
        </is>
      </c>
      <c r="C114" s="1" t="inlineStr">
        <is>
          <t xml:space="preserve">t.on</t>
        </is>
      </c>
      <c r="D114" s="49">
        <f>CC!$C$115</f>
      </c>
      <c r="E114" s="26" t="inlineStr">
        <is>
          <t xml:space="preserve">ns</t>
        </is>
      </c>
    </row>
    <row r="115">
      <c r="B115" s="1" t="inlineStr">
        <is>
          <t xml:space="preserve">Gate off delay: IC edge -&gt; channel off</t>
        </is>
      </c>
      <c r="C115" s="1" t="inlineStr">
        <is>
          <t xml:space="preserve">t.off</t>
        </is>
      </c>
      <c r="D115" s="49">
        <f>CC!$C$117</f>
      </c>
      <c r="E115" s="26" t="inlineStr">
        <is>
          <t xml:space="preserve">ns</t>
        </is>
      </c>
    </row>
    <row r="116">
      <c r="B116" s="1" t="inlineStr">
        <is>
          <t xml:space="preserve">Dead time needed in run (IC ADT 40-420 ns or t.DT)</t>
        </is>
      </c>
      <c r="C116" s="1" t="inlineStr">
        <is>
          <t xml:space="preserve">t.D.need</t>
        </is>
      </c>
      <c r="D116" s="49">
        <f>CC!$C$119</f>
      </c>
      <c r="E116" s="26" t="inlineStr">
        <is>
          <t xml:space="preserve">ns</t>
        </is>
      </c>
      <c r="G116" s="1">
        <f>IF(D116&lt;=MAX(420,D98),"OK","CHECK")&amp;"   max "&amp;TEXT(MAX(420,D98),"0")&amp;" ns"</f>
      </c>
    </row>
    <row r="117">
      <c r="B117" s="1" t="inlineStr">
        <is>
          <t xml:space="preserve">Dead time max in run (gate on before the current reverses)</t>
        </is>
      </c>
      <c r="C117" s="1" t="inlineStr">
        <is>
          <t xml:space="preserve">t.D.max</t>
        </is>
      </c>
      <c r="D117" s="49">
        <f>CC!$C$120</f>
      </c>
      <c r="E117" s="26" t="inlineStr">
        <is>
          <t xml:space="preserve">ns</t>
        </is>
      </c>
      <c r="G117" s="1">
        <f>IF(MAX(D116,D98)&lt;=D117,"OK","CHECK")&amp;"   dead time "&amp;TEXT(MAX(D116,D98),"0")&amp;" ns"</f>
      </c>
    </row>
    <row r="118">
      <c r="B118" s="1" t="inlineStr">
        <is>
          <t xml:space="preserve">Gate voltage, end of start-up pulse</t>
        </is>
      </c>
      <c r="C118" s="1" t="inlineStr">
        <is>
          <t xml:space="preserve">V.g.su</t>
        </is>
      </c>
      <c r="D118" s="49">
        <f>CC!$C$94</f>
      </c>
      <c r="E118" s="26" t="inlineStr">
        <is>
          <t xml:space="preserve">V</t>
        </is>
      </c>
      <c r="G118" s="1">
        <f>IF(D118&gt;=10,"OK","CHECK")&amp;"   min 10 V"</f>
      </c>
    </row>
    <row r="119">
      <c r="B119" s="1" t="inlineStr">
        <is>
          <t xml:space="preserve">V.BS after the first LOUT pulse</t>
        </is>
      </c>
      <c r="C119" s="1" t="inlineStr">
        <is>
          <t xml:space="preserve">V.bs.1</t>
        </is>
      </c>
      <c r="D119" s="49">
        <f>CC!$C$132</f>
      </c>
      <c r="E119" s="26" t="inlineStr">
        <is>
          <t xml:space="preserve">V</t>
        </is>
      </c>
      <c r="G119" s="1">
        <f>IF(D119&gt;=D103,"OK","CHECK")&amp;"   min "&amp;TEXT(D103,"0.0")&amp;" V"</f>
      </c>
    </row>
    <row r="120">
      <c r="B120" s="1" t="inlineStr">
        <is>
          <t xml:space="preserve">V.BS lowest, steady at f.SU</t>
        </is>
      </c>
      <c r="C120" s="1" t="inlineStr">
        <is>
          <t xml:space="preserve">V.bs.min</t>
        </is>
      </c>
      <c r="D120" s="49">
        <f>CC!$C$134</f>
      </c>
      <c r="E120" s="26" t="inlineStr">
        <is>
          <t xml:space="preserve">V</t>
        </is>
      </c>
    </row>
    <row r="121">
      <c r="B121" s="1" t="inlineStr">
        <is>
          <t xml:space="preserve">Gate-off margin vs Miller kick</t>
        </is>
      </c>
      <c r="C121" s="1" t="inlineStr">
        <is>
          <t xml:space="preserve">k.Miller</t>
        </is>
      </c>
      <c r="D121" s="49">
        <f>CC!$C$112</f>
      </c>
      <c r="E121" s="26" t="inlineStr">
        <is>
          <t xml:space="preserve">-</t>
        </is>
      </c>
      <c r="G121" s="1">
        <f>IF(D121&gt;=1,"OK","CHECK")&amp;"   min 1"</f>
      </c>
    </row>
    <row r="122">
      <c r="B122" s="1" t="inlineStr">
        <is>
          <t xml:space="preserve">Driver dissipation at f.Max, both sides</t>
        </is>
      </c>
      <c r="C122" s="1" t="inlineStr">
        <is>
          <t xml:space="preserve">P.drv</t>
        </is>
      </c>
      <c r="D122" s="49">
        <f>CC!$C$100</f>
      </c>
      <c r="E122" s="26" t="inlineStr">
        <is>
          <t xml:space="preserve">W</t>
        </is>
      </c>
      <c r="G122" s="1">
        <f>IF(D122&lt;=CC!$C$101,"OK","CHECK")&amp;"   max "&amp;TEXT(CC!$C$101,"0.00")&amp;" W at Ta "&amp;TEXT($D$73,"0")&amp;" ˚C"</f>
      </c>
    </row>
    <row r="123">
      <c r="B123" s="1" t="inlineStr">
        <is>
          <t xml:space="preserve">Driver junction at f.Max and Ta (D73)</t>
        </is>
      </c>
      <c r="C123" s="1" t="inlineStr">
        <is>
          <t xml:space="preserve">Tj.drv</t>
        </is>
      </c>
      <c r="D123" s="49">
        <f>CC!$C$137</f>
      </c>
      <c r="E123" s="26" t="inlineStr">
        <is>
          <t xml:space="preserve">˚C</t>
        </is>
      </c>
    </row>
    <row r="124">
      <c r="B124" s="1" t="inlineStr">
        <is>
          <t xml:space="preserve">Highest switching frequency (f.SU)</t>
        </is>
      </c>
      <c r="C124" s="1" t="inlineStr">
        <is>
          <t xml:space="preserve">f.SU</t>
        </is>
      </c>
      <c r="D124" s="49">
        <f>'Device Setting'!$D$29</f>
      </c>
      <c r="E124" s="26" t="inlineStr">
        <is>
          <t xml:space="preserve">kHz</t>
        </is>
      </c>
      <c r="G124" s="1">
        <f>IF(D124&lt;=D99,"OK","CHECK")&amp;"   driver max "&amp;TEXT(D99,"0")&amp;" kHz"</f>
      </c>
    </row>
    <row r="125">
      <c r="B125" s="1" t="inlineStr">
        <is>
          <t xml:space="preserve">R.on dissipation at f.Max (rating &gt;= 2x)</t>
        </is>
      </c>
      <c r="C125" s="1" t="inlineStr">
        <is>
          <t xml:space="preserve">P.Ron</t>
        </is>
      </c>
      <c r="D125" s="49">
        <f>CC!$C$135</f>
      </c>
      <c r="E125" s="26" t="inlineStr">
        <is>
          <t xml:space="preserve">W</t>
        </is>
      </c>
    </row>
    <row r="126">
      <c r="B126" s="1" t="inlineStr">
        <is>
          <t xml:space="preserve">R.off dissipation at f.Max (rating &gt;= 2x)</t>
        </is>
      </c>
      <c r="C126" s="1" t="inlineStr">
        <is>
          <t xml:space="preserve">P.Roff</t>
        </is>
      </c>
      <c r="D126" s="49">
        <f>CC!$C$136</f>
      </c>
      <c r="E126" s="26" t="inlineStr">
        <is>
          <t xml:space="preserve">W</t>
        </is>
      </c>
    </row>
    <row r="127"/>
    <row r="128"/>
    <row r="129"/>
    <row r="130"/>
    <row r="131"/>
    <row r="132"/>
    <row r="133" spans="2:14" ht="18" customHeight="1">
      <c r="B133"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33" s="19"/>
      <c r="F133" s="76"/>
      <c r="G133" s="76"/>
      <c r="H133" s="76"/>
      <c r="I133" s="76"/>
      <c r="J133" s="76"/>
      <c r="K133" s="76"/>
      <c r="L133" s="76"/>
      <c r="M133" s="76"/>
      <c r="N133" s="76"/>
    </row>
    <row r="134" spans="2:14" ht="14.25" customHeight="1">
      <c r="B134" s="1"/>
      <c r="C134" s="1"/>
      <c r="D134" s="77"/>
      <c r="E134" s="1"/>
      <c r="F134" s="76"/>
      <c r="G134" s="76"/>
      <c r="H134" s="76"/>
      <c r="I134" s="76"/>
      <c r="J134" s="76"/>
      <c r="K134" s="76"/>
      <c r="L134" s="76"/>
      <c r="M134" s="76"/>
      <c r="N134" s="76"/>
    </row>
    <row r="135" spans="2:14" ht="15.75" customHeight="1">
      <c r="B135" s="20" t="s">
        <v>356</v>
      </c>
      <c r="C135" s="20" t="s">
        <v>132</v>
      </c>
      <c r="D135" s="20" t="s">
        <v>133</v>
      </c>
      <c r="E135" s="20" t="s">
        <v>431</v>
      </c>
      <c r="F135" s="76"/>
      <c r="G135" s="76"/>
      <c r="H135" s="76"/>
      <c r="I135" s="76"/>
      <c r="J135" s="76"/>
      <c r="K135" s="76"/>
      <c r="L135" s="76"/>
      <c r="M135" s="76"/>
      <c r="N135" s="76"/>
    </row>
    <row r="136" spans="2:14" ht="15" customHeight="1">
      <c r="B136" s="1" t="s">
        <v>1086</v>
      </c>
      <c r="C136" s="1" t="s">
        <v>1187</v>
      </c>
      <c r="D136" s="49">
        <f>CC!J25</f>
        <v>28.329125161562832</v>
      </c>
      <c r="E136" s="1" t="s">
        <v>237</v>
      </c>
      <c r="F136" s="65"/>
      <c r="G136" s="76"/>
      <c r="H136" s="76"/>
      <c r="I136" s="76"/>
      <c r="J136" s="76"/>
      <c r="K136" s="76"/>
      <c r="L136" s="76"/>
      <c r="M136" s="76"/>
      <c r="N136" s="76"/>
    </row>
    <row r="137" spans="2:14" ht="15" customHeight="1">
      <c r="B137" s="1" t="s">
        <v>1087</v>
      </c>
      <c r="C137" s="1" t="s">
        <v>1188</v>
      </c>
      <c r="D137" s="49">
        <f>CC!J26</f>
        <v>28.329125161562832</v>
      </c>
      <c r="E137" s="1" t="s">
        <v>237</v>
      </c>
      <c r="F137" s="65"/>
      <c r="G137" s="76"/>
      <c r="H137" s="76"/>
      <c r="I137" s="76"/>
      <c r="J137" s="76"/>
      <c r="K137" s="76"/>
      <c r="L137" s="76"/>
      <c r="M137" s="76"/>
      <c r="N137" s="76"/>
    </row>
    <row r="138" spans="2:14" ht="15" customHeight="1">
      <c r="B138" s="1" t="s">
        <v>1088</v>
      </c>
      <c r="C138" s="1" t="s">
        <v>432</v>
      </c>
      <c r="D138" s="49">
        <f>CC!E24</f>
        <v>98.617963506893403</v>
      </c>
      <c r="E138" s="1" t="s">
        <v>237</v>
      </c>
      <c r="F138" s="76"/>
      <c r="G138" s="76"/>
      <c r="H138" s="76"/>
      <c r="I138" s="76"/>
      <c r="J138" s="76"/>
      <c r="K138" s="76"/>
      <c r="L138" s="76"/>
      <c r="M138" s="76"/>
      <c r="N138" s="76"/>
    </row>
    <row r="139" spans="2:14" ht="15" customHeight="1">
      <c r="B139" s="1" t="s">
        <v>1089</v>
      </c>
      <c r="C139" s="1" t="s">
        <v>1090</v>
      </c>
      <c r="D139" s="49">
        <f>IF(ISNUMBER(F137),F137,D137)/D155</f>
        <v>14.164562580781416</v>
      </c>
      <c r="E139" s="1" t="s">
        <v>237</v>
      </c>
      <c r="F139" s="76"/>
      <c r="G139" s="76"/>
      <c r="H139" s="76"/>
      <c r="I139" s="76"/>
      <c r="J139" s="76"/>
      <c r="K139" s="76"/>
      <c r="L139" s="76"/>
      <c r="M139" s="76"/>
      <c r="N139" s="76"/>
    </row>
    <row r="140" spans="2:14" ht="15" customHeight="1">
      <c r="B140" s="20" t="s">
        <v>356</v>
      </c>
      <c r="C140" s="20" t="s">
        <v>132</v>
      </c>
      <c r="D140" s="20" t="s">
        <v>133</v>
      </c>
      <c r="E140" s="20" t="s">
        <v>431</v>
      </c>
      <c r="F140" s="76"/>
      <c r="G140" s="76"/>
      <c r="H140" s="76"/>
      <c r="I140" s="76"/>
      <c r="J140" s="76"/>
      <c r="K140" s="76"/>
      <c r="L140" s="76"/>
      <c r="M140" s="76"/>
      <c r="N140" s="76"/>
    </row>
    <row r="141" spans="2:14" ht="15" customHeight="1">
      <c r="B141" s="1" t="s">
        <v>1091</v>
      </c>
      <c r="C141" s="1" t="s">
        <v>415</v>
      </c>
      <c r="D141" s="49">
        <f>1.2*2*'Design Spec'!$D$95/'Design Spec'!$D$107</f>
        <v>60</v>
      </c>
      <c r="E141" s="1" t="s">
        <v>150</v>
      </c>
      <c r="F141" s="76"/>
      <c r="G141" s="76"/>
      <c r="H141" s="76"/>
      <c r="I141" s="76"/>
      <c r="J141" s="76"/>
      <c r="K141" s="76"/>
      <c r="L141" s="76"/>
      <c r="M141" s="76"/>
      <c r="N141" s="76"/>
    </row>
    <row r="142" spans="2:14" ht="14.25" customHeight="1">
      <c r="B142" s="1" t="s">
        <v>1092</v>
      </c>
      <c r="C142" s="1" t="s">
        <v>416</v>
      </c>
      <c r="D142" s="49">
        <f>1.2*D138</f>
        <v>118.34155620827208</v>
      </c>
      <c r="E142" s="1" t="s">
        <v>237</v>
      </c>
      <c r="F142" s="76"/>
      <c r="G142" s="76"/>
      <c r="H142" s="76"/>
      <c r="I142" s="76"/>
      <c r="J142" s="76"/>
      <c r="K142" s="76"/>
      <c r="L142" s="76"/>
      <c r="M142" s="76"/>
      <c r="N142" s="76"/>
    </row>
    <row r="143" spans="2:14" ht="14.25" customHeight="1">
      <c r="B143" s="1" t="s">
        <v>1093</v>
      </c>
      <c r="C143" s="1" t="s">
        <v>1094</v>
      </c>
      <c r="D143" s="49">
        <f>D138/D155</f>
        <v>49.308981753446702</v>
      </c>
      <c r="E143" s="1" t="s">
        <v>237</v>
      </c>
      <c r="F143" s="76"/>
      <c r="G143" s="76"/>
      <c r="H143" s="76"/>
      <c r="I143" s="76"/>
      <c r="J143" s="76"/>
      <c r="K143" s="76"/>
      <c r="L143" s="76"/>
      <c r="M143" s="76"/>
      <c r="N143" s="76"/>
    </row>
    <row r="144" spans="2:14" ht="15.75" customHeight="1">
      <c r="B144" s="20" t="s">
        <v>417</v>
      </c>
      <c r="C144" s="202" t="inlineStr">
        <is>
          <t xml:space="preserve">TPH3R70APL1</t>
        </is>
      </c>
      <c r="D144" s="202"/>
      <c r="E144" s="202"/>
      <c r="F144" s="76"/>
      <c r="G144" s="76"/>
      <c r="H144" s="76"/>
      <c r="I144" s="76"/>
      <c r="J144" s="76"/>
      <c r="K144" s="76"/>
      <c r="L144" s="76"/>
      <c r="M144" s="76"/>
      <c r="N144" s="76"/>
    </row>
    <row r="145" spans="2:14" ht="14.25" customHeight="1">
      <c r="B145" s="1" t="s">
        <v>1095</v>
      </c>
      <c r="C145" s="1" t="s">
        <v>1096</v>
      </c>
      <c r="D145" s="2">
        <v>2</v>
      </c>
      <c r="E145" s="26" t="s">
        <v>181</v>
      </c>
      <c r="F145" s="76"/>
    </row>
    <row r="146" spans="2:14" ht="15.75" customHeight="1">
      <c r="B146" s="20" t="s">
        <v>356</v>
      </c>
      <c r="C146" s="20" t="s">
        <v>132</v>
      </c>
      <c r="D146" s="20" t="s">
        <v>133</v>
      </c>
      <c r="E146" s="20" t="s">
        <v>134</v>
      </c>
    </row>
    <row r="147" spans="2:14" ht="14.25" customHeight="1">
      <c r="B147" s="1" t="s">
        <v>1097</v>
      </c>
      <c r="C147" s="1" t="s">
        <v>403</v>
      </c>
      <c r="D147" s="2">
        <v>0</v>
      </c>
      <c r="E147" s="1" t="s">
        <v>150</v>
      </c>
    </row>
    <row r="148" spans="2:5" ht="15" customHeight="1">
      <c r="B148" s="1" t="s">
        <v>1219</v>
      </c>
      <c r="C148" s="1" t="s">
        <v>433</v>
      </c>
      <c r="D148" s="2">
        <v>0.0037</v>
      </c>
      <c r="E148" s="26" t="s">
        <v>175</v>
      </c>
    </row>
    <row r="149" spans="2:5" ht="15" customHeight="1">
      <c r="B149" s="1" t="s">
        <v>423</v>
      </c>
      <c r="C149" s="1" t="s">
        <v>424</v>
      </c>
      <c r="D149" s="2">
        <v>25</v>
      </c>
      <c r="E149" s="26" t="s">
        <v>425</v>
      </c>
    </row>
    <row r="150" spans="2:5" ht="15">
      <c r="B150" s="1" t="s">
        <v>1217</v>
      </c>
      <c r="C150" s="1" t="s">
        <v>1098</v>
      </c>
      <c r="D150" s="2">
        <v>1.9</v>
      </c>
      <c r="E150" s="26" t="s">
        <v>181</v>
      </c>
    </row>
    <row r="151" spans="2:5" ht="15.75" customHeight="1">
      <c r="B151" s="20" t="s">
        <v>356</v>
      </c>
      <c r="C151" s="20" t="s">
        <v>132</v>
      </c>
      <c r="D151" s="20" t="s">
        <v>133</v>
      </c>
      <c r="E151" s="20" t="s">
        <v>134</v>
      </c>
    </row>
    <row r="152" spans="2:5" ht="14.25" customHeight="1">
      <c r="B152" s="1" t="s">
        <v>1084</v>
      </c>
      <c r="C152" s="1" t="s">
        <v>434</v>
      </c>
      <c r="D152" s="49">
        <f>IF(D145=2,0,0.5*D147*'Preliminary Calculation'!D7/D155)+D148*D150*D139^2</f>
        <v>1.4104628767272578</v>
      </c>
      <c r="E152" s="1" t="s">
        <v>161</v>
      </c>
    </row>
    <row r="153" spans="2:5" ht="15" customHeight="1">
      <c r="B153" s="1" t="s">
        <v>1099</v>
      </c>
      <c r="C153" s="1" t="s">
        <v>429</v>
      </c>
      <c r="D153" s="49">
        <f>(125-D149)/D152</f>
        <v>70.898711089818406</v>
      </c>
      <c r="E153" s="1" t="s">
        <v>430</v>
      </c>
    </row>
    <row r="154" spans="2:5" ht="14.25" customHeight="1">
      <c r="B154" s="1" t="s">
        <v>1100</v>
      </c>
      <c r="C154" s="1" t="s">
        <v>435</v>
      </c>
      <c r="D154" s="49">
        <f>D152*D155*2*'Design Spec'!$D$107</f>
        <v>5.6418515069090311</v>
      </c>
      <c r="E154" s="1" t="s">
        <v>161</v>
      </c>
    </row>
    <row r="155" spans="2:5" ht="15">
      <c r="B155" s="1" t="s">
        <v>1101</v>
      </c>
      <c r="C155" s="1" t="s">
        <v>1102</v>
      </c>
      <c r="D155" s="2">
        <v>2</v>
      </c>
      <c r="E155" s="26" t="s">
        <v>181</v>
      </c>
    </row>
    <row r="156" spans="2:5" ht="18" customHeight="1">
      <c r="B156" s="28" t="s">
        <v>436</v>
      </c>
      <c r="C156" s="28" t="s">
        <v>437</v>
      </c>
      <c r="D156" s="78"/>
      <c r="E156" s="79"/>
    </row>
    <row r="157" spans="2:5" ht="14.25" customHeight="1">
      <c r="B157" s="80"/>
      <c r="C157" s="80"/>
      <c r="E157" s="81"/>
    </row>
    <row r="158" spans="2:5" ht="14.25" customHeight="1">
      <c r="B158" s="80"/>
      <c r="C158" s="80"/>
      <c r="E158" s="81"/>
    </row>
    <row r="159" spans="2:5" ht="14.25" customHeight="1">
      <c r="B159" s="80"/>
      <c r="C159" s="80"/>
      <c r="E159" s="81"/>
    </row>
    <row r="160" spans="2:5" ht="14.25" customHeight="1">
      <c r="B160" s="80"/>
      <c r="C160" s="80"/>
      <c r="E160" s="81"/>
    </row>
    <row r="161" spans="2:5" ht="14.25" customHeight="1">
      <c r="B161" s="80"/>
      <c r="C161" s="80"/>
      <c r="E161" s="81"/>
    </row>
    <row r="162" spans="2:5" ht="14.25" customHeight="1">
      <c r="B162" s="80"/>
      <c r="C162" s="80"/>
      <c r="E162" s="81"/>
    </row>
    <row r="163" spans="2:5" ht="14.25" customHeight="1">
      <c r="B163" s="80"/>
      <c r="C163" s="80"/>
      <c r="E163" s="81"/>
    </row>
    <row r="164" spans="2:5" ht="14.25" customHeight="1">
      <c r="B164" s="80"/>
      <c r="C164" s="80"/>
      <c r="E164" s="81"/>
    </row>
    <row r="165" spans="2:5" ht="14.25" customHeight="1">
      <c r="B165" s="80"/>
      <c r="C165" s="80"/>
      <c r="E165" s="81"/>
    </row>
    <row r="166" spans="2:5" ht="14.25" customHeight="1">
      <c r="B166" s="80"/>
      <c r="C166" s="80"/>
      <c r="E166" s="81"/>
    </row>
    <row r="167" spans="2:5" ht="14.25" customHeight="1">
      <c r="B167" s="80"/>
      <c r="C167" s="80"/>
      <c r="E167" s="81"/>
    </row>
    <row r="168" spans="2:5" ht="14.25" customHeight="1">
      <c r="B168" s="80"/>
      <c r="C168" s="80"/>
      <c r="E168" s="81"/>
    </row>
    <row r="169" spans="2:5" ht="14.25" customHeight="1">
      <c r="B169" s="80"/>
      <c r="C169" s="80"/>
      <c r="E169" s="81"/>
    </row>
    <row r="170" spans="2:5" ht="14.25" customHeight="1">
      <c r="B170" s="80"/>
      <c r="C170" s="80"/>
      <c r="E170" s="81"/>
    </row>
    <row r="171" spans="2:5" ht="14.25" customHeight="1">
      <c r="B171" s="82"/>
      <c r="C171" s="82"/>
      <c r="D171" s="83"/>
      <c r="E171" s="84"/>
    </row>
  </sheetData>
  <mergeCells count="4">
    <mergeCell ref="C89:E89"/>
    <mergeCell ref="C50:E50"/>
    <mergeCell ref="C67:E67"/>
    <mergeCell ref="C144:E144"/>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1500</v>
      </c>
      <c r="G94" s="125"/>
    </row>
    <row r="95" spans="2:7" ht="14.25" customHeight="1">
      <c r="B95" s="1" t="s">
        <v>668</v>
      </c>
      <c r="C95" s="54" t="s">
        <v>669</v>
      </c>
      <c r="D95" s="55">
        <f>1/(2*PI()*(D86*IF(F94,F94,D94)*(10^-9)))/1000</f>
        <v>45.715337710116671</v>
      </c>
      <c r="E95" s="54" t="s">
        <v>452</v>
      </c>
      <c r="F95" s="2">
        <v>18</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Components'!$C$144</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3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88-132</t>
        </is>
      </c>
    </row>
    <row r="78">
      <c r="B78" s="10" t="inlineStr">
        <is>
          <t xml:space="preserve">L6790A dead time at start-up, before ADT (DS gives none) [assumed]</t>
        </is>
      </c>
      <c r="C78" s="2">
        <v>420</v>
      </c>
      <c r="D78" s="10" t="inlineStr">
        <is>
          <t xml:space="preserve">ns</t>
        </is>
      </c>
    </row>
    <row r="79">
      <c r="B79" s="10" t="inlineStr">
        <is>
          <t xml:space="preserve">L6790A highest FB bus = HB/FB morphing threshold (DS V.HVPK_BOH)</t>
        </is>
      </c>
      <c r="C79" s="2">
        <v>235</v>
      </c>
      <c r="D79" s="10" t="inlineStr">
        <is>
          <t xml:space="preserve">V</t>
        </is>
      </c>
    </row>
    <row r="80">
      <c r="B80" s="10" t="inlineStr">
        <is>
          <t xml:space="preserve">Driver source resistance: V.test / I.so</t>
        </is>
      </c>
      <c r="C80" s="87">
        <f>'Power Components'!$D$93/'Power Components'!$D$91</f>
      </c>
      <c r="D80" s="10" t="inlineStr">
        <is>
          <t xml:space="preserve">Ω</t>
        </is>
      </c>
    </row>
    <row r="81">
      <c r="B81" s="10" t="inlineStr">
        <is>
          <t xml:space="preserve">Driver sink resistance: V.test / I.si</t>
        </is>
      </c>
      <c r="C81" s="87">
        <f>'Power Components'!$D$93/'Power Components'!$D$92</f>
      </c>
      <c r="D81" s="10" t="inlineStr">
        <is>
          <t xml:space="preserve">Ω</t>
        </is>
      </c>
    </row>
    <row r="82">
      <c r="B82" s="10" t="inlineStr">
        <is>
          <t xml:space="preserve">V.drv (selected)</t>
        </is>
      </c>
      <c r="C82" s="87">
        <f>'Power Components'!$F$105</f>
      </c>
      <c r="D82" s="10" t="inlineStr">
        <is>
          <t xml:space="preserve">V</t>
        </is>
      </c>
    </row>
    <row r="83">
      <c r="B83" s="10" t="inlineStr">
        <is>
          <t xml:space="preserve">V.drv min: driver range, and 10 V at the high-side gate after D.boot</t>
        </is>
      </c>
      <c r="C83" s="87">
        <f>MAX('Power Components'!$D$94,10+'Power Components'!$F$112)</f>
      </c>
      <c r="D83" s="10" t="inlineStr">
        <is>
          <t xml:space="preserve">V</t>
        </is>
      </c>
    </row>
    <row r="84">
      <c r="B84" s="10" t="inlineStr">
        <is>
          <t xml:space="preserve">V.drv max: driver range</t>
        </is>
      </c>
      <c r="C84" s="87">
        <f>'Power Components'!$D$95</f>
      </c>
      <c r="D84" s="10" t="inlineStr">
        <is>
          <t xml:space="preserve">V</t>
        </is>
      </c>
    </row>
    <row r="85">
      <c r="B85" s="10" t="inlineStr">
        <is>
          <t xml:space="preserve">V.drv recommended: the driver test voltage inside the range</t>
        </is>
      </c>
      <c r="C85" s="87">
        <f>MIN(C84,MAX(C83,'Power Components'!$D$93))</f>
      </c>
      <c r="D85" s="10" t="inlineStr">
        <is>
          <t xml:space="preserve">V</t>
        </is>
      </c>
    </row>
    <row r="86">
      <c r="B86" s="10" t="inlineStr">
        <is>
          <t xml:space="preserve">Gate capacitance per position: n.par x C.g + C.gs</t>
        </is>
      </c>
      <c r="C86" s="87">
        <f>'Power Components'!$D$68*'Power Components'!$D$76+'Power Components'!$F$109</f>
      </c>
      <c r="D86" s="10" t="inlineStr">
        <is>
          <t xml:space="preserve">nF</t>
        </is>
      </c>
    </row>
    <row r="87">
      <c r="B87" s="10" t="inlineStr">
        <is>
          <t xml:space="preserve">Internal gate resistance per position</t>
        </is>
      </c>
      <c r="C87" s="87">
        <f>'Power Components'!$D$78/'Power Components'!$D$68</f>
      </c>
      <c r="D87" s="10" t="inlineStr">
        <is>
          <t xml:space="preserve">Ω</t>
        </is>
      </c>
    </row>
    <row r="88">
      <c r="B88" s="10" t="inlineStr">
        <is>
          <t xml:space="preserve">Turn-off path resistance</t>
        </is>
      </c>
      <c r="C88" s="87">
        <f>IF('Power Components'!$F$108=0,'Power Components'!$F$107,IF('Power Components'!$F$107&gt;0,'Power Components'!$F$107*'Power Components'!$F$106/('Power Components'!$F$107+'Power Components'!$F$106),'Power Components'!$F$106))</f>
      </c>
      <c r="D88" s="10" t="inlineStr">
        <is>
          <t xml:space="preserve">Ω</t>
        </is>
      </c>
    </row>
    <row r="89">
      <c r="B89" s="10" t="inlineStr">
        <is>
          <t xml:space="preserve">Turn-off path offset (D.off)</t>
        </is>
      </c>
      <c r="C89" s="87">
        <f>IF(AND('Power Components'!$F$108&gt;0,'Power Components'!$F$107&gt;0),'Power Components'!$F$108*'Power Components'!$F$106/('Power Components'!$F$107+'Power Components'!$F$106),0)</f>
      </c>
      <c r="D89" s="10" t="inlineStr">
        <is>
          <t xml:space="preserve">V</t>
        </is>
      </c>
    </row>
    <row r="90">
      <c r="B90" s="10" t="inlineStr">
        <is>
          <t xml:space="preserve">τ.on = (R.so + R.on + R.gi) C.G</t>
        </is>
      </c>
      <c r="C90" s="87">
        <f>(C80+'Power Components'!$F$106+C87)*C86</f>
      </c>
      <c r="D90" s="10" t="inlineStr">
        <is>
          <t xml:space="preserve">ns</t>
        </is>
      </c>
    </row>
    <row r="91">
      <c r="B91" s="10" t="inlineStr">
        <is>
          <t xml:space="preserve">τ.off = (R.si + R.off.eff + R.gi) C.G</t>
        </is>
      </c>
      <c r="C91" s="87">
        <f>(C81+C88+C87)*C86</f>
      </c>
      <c r="D91" s="10" t="inlineStr">
        <is>
          <t xml:space="preserve">ns</t>
        </is>
      </c>
    </row>
    <row r="92">
      <c r="B92" s="10" t="inlineStr">
        <is>
          <t xml:space="preserve">Start-up pulse T/2 - max(t.D.su, t.DT) (also the first LOUT pulse)</t>
        </is>
      </c>
      <c r="C92" s="87">
        <f>10^6/(2*'Device Setting'!$D$29)-MAX(C78,'Power Components'!$D$98)</f>
      </c>
      <c r="D92" s="10" t="inlineStr">
        <is>
          <t xml:space="preserve">ns</t>
        </is>
      </c>
    </row>
    <row r="93">
      <c r="B93" s="10" t="inlineStr">
        <is>
          <t xml:space="preserve">Pulse at f.Max: T/2 - t.D</t>
        </is>
      </c>
      <c r="C93" s="87">
        <f>10^6/(2*'Device Setting'!$D$27)-MAX('Design Spec'!$D$47,'Power Components'!$D$98)</f>
      </c>
      <c r="D93" s="10" t="inlineStr">
        <is>
          <t xml:space="preserve">ns</t>
        </is>
      </c>
    </row>
    <row r="94">
      <c r="B94" s="10" t="inlineStr">
        <is>
          <t xml:space="preserve">Gate voltage at the end of the start-up pulse</t>
        </is>
      </c>
      <c r="C94" s="87">
        <f>C82*(1-EXP(-C92/C90))</f>
      </c>
      <c r="D94" s="10" t="inlineStr">
        <is>
          <t xml:space="preserve">V</t>
        </is>
      </c>
    </row>
    <row r="95">
      <c r="B95" s="10" t="inlineStr">
        <is>
          <t xml:space="preserve">Gate voltage at the end of the f.Max pulse</t>
        </is>
      </c>
      <c r="C95" s="87">
        <f>C82*(1-EXP(-C93/C90))</f>
      </c>
      <c r="D95" s="10" t="inlineStr">
        <is>
          <t xml:space="preserve">V</t>
        </is>
      </c>
    </row>
    <row r="96">
      <c r="B96" s="10" t="inlineStr">
        <is>
          <t xml:space="preserve">Energy per turn-on at f.Max</t>
        </is>
      </c>
      <c r="C96" s="87">
        <f>C86*C95*(C82-C95/2)</f>
      </c>
      <c r="D96" s="10" t="inlineStr">
        <is>
          <t xml:space="preserve">nJ</t>
        </is>
      </c>
    </row>
    <row r="97">
      <c r="B97" s="10" t="inlineStr">
        <is>
          <t xml:space="preserve">Energy per turn-off at f.Max</t>
        </is>
      </c>
      <c r="C97" s="87">
        <f>C86*C95^2/2</f>
      </c>
      <c r="D97" s="10" t="inlineStr">
        <is>
          <t xml:space="preserve">nJ</t>
        </is>
      </c>
    </row>
    <row r="98">
      <c r="B98" s="10" t="inlineStr">
        <is>
          <t xml:space="preserve">Driver share of the turn-on energy</t>
        </is>
      </c>
      <c r="C98" s="87">
        <f>C80/(C80+'Power Components'!$F$106+C87)</f>
      </c>
      <c r="D98" s="10" t="inlineStr">
        <is>
          <t xml:space="preserve">-</t>
        </is>
      </c>
    </row>
    <row r="99">
      <c r="B99" s="10" t="inlineStr">
        <is>
          <t xml:space="preserve">Driver share of the turn-off energy</t>
        </is>
      </c>
      <c r="C99" s="87">
        <f>C81/(C81+C88+C87)</f>
      </c>
      <c r="D99" s="10" t="inlineStr">
        <is>
          <t xml:space="preserve">-</t>
        </is>
      </c>
    </row>
    <row r="100">
      <c r="B100" s="10" t="inlineStr">
        <is>
          <t xml:space="preserve">Driver power at f.Max, both positions + quiescent</t>
        </is>
      </c>
      <c r="C100" s="87">
        <f>2*(C96*C98+C97*C99)*'Device Setting'!$D$27*10^-6+'Power Components'!$D$100*C82/1000</f>
      </c>
      <c r="D100" s="10" t="inlineStr">
        <is>
          <t xml:space="preserve">W</t>
        </is>
      </c>
    </row>
    <row r="101">
      <c r="B101" s="10" t="inlineStr">
        <is>
          <t xml:space="preserve">Driver power allowed: (Tj.max - Ta) / Rth</t>
        </is>
      </c>
      <c r="C101" s="87">
        <f>('Power Components'!$D$102-'Power Components'!$D$73)/'Power Components'!$D$101</f>
      </c>
      <c r="D101" s="10" t="inlineStr">
        <is>
          <t xml:space="preserve">W</t>
        </is>
      </c>
    </row>
    <row r="102">
      <c r="B102" s="10" t="inlineStr">
        <is>
          <t xml:space="preserve">Driver gate-power budget: allowed - quiescent</t>
        </is>
      </c>
      <c r="C102" s="87">
        <f>C101-'Power Components'!$D$100*C82/1000</f>
      </c>
      <c r="D102" s="10" t="inlineStr">
        <is>
          <t xml:space="preserve">W</t>
        </is>
      </c>
    </row>
    <row r="103">
      <c r="B103" s="10" t="inlineStr">
        <is>
          <t xml:space="preserve">Turn-on share the budget allows</t>
        </is>
      </c>
      <c r="C103" s="87">
        <f>(C102-2*C97*C99*'Device Setting'!$D$27*10^-6)/(2*C96*'Device Setting'!$D$27*10^-6)</f>
      </c>
      <c r="D103" s="10" t="inlineStr">
        <is>
          <t xml:space="preserve">-</t>
        </is>
      </c>
    </row>
    <row r="104">
      <c r="B104" s="10" t="inlineStr">
        <is>
          <t xml:space="preserve">R.on min: the driver temperature</t>
        </is>
      </c>
      <c r="C104" s="87">
        <f>IF(C103&lt;=0,"lower V.drv",MAX(0,C80/C103-C80-C87))</f>
      </c>
      <c r="D104" s="10" t="inlineStr">
        <is>
          <t xml:space="preserve">Ω</t>
        </is>
      </c>
    </row>
    <row r="105">
      <c r="B105" s="10" t="inlineStr">
        <is>
          <t xml:space="preserve">R.on max: the gate reaches 10 V within the start-up pulse</t>
        </is>
      </c>
      <c r="C105" s="87">
        <f>IF(C82&gt;10,C92/(C86*LN(C82/(C82-10)))-C80-C87,0)</f>
      </c>
      <c r="D105" s="10" t="inlineStr">
        <is>
          <t xml:space="preserve">Ω</t>
        </is>
      </c>
    </row>
    <row r="106">
      <c r="B106" s="10" t="inlineStr">
        <is>
          <t xml:space="preserve">R.on recommended: the log middle of min .. max, E12 below</t>
        </is>
      </c>
      <c r="C106" s="87">
        <f>IF(ISNUMBER(C104),IF((SQRT(MAX(C104,1)*MAX(C105,1)))&lt;=0,0,10^INT(LOG10((SQRT(MAX(C104,1)*MAX(C105,1)))*1.000001))*LOOKUP((SQRT(MAX(C104,1)*MAX(C105,1)))*1.000001/10^INT(LOG10((SQRT(MAX(C104,1)*MAX(C105,1)))*1.000001)),{1,1.2,1.5,1.8,2.2,2.7,3.3,3.9,4.7,5.6,6.8,8.2})),C104)</f>
      </c>
      <c r="D106" s="10" t="inlineStr">
        <is>
          <t xml:space="preserve">Ω</t>
        </is>
      </c>
    </row>
    <row r="107">
      <c r="B107" s="10" t="inlineStr">
        <is>
          <t xml:space="preserve">Midpoint swing in run: c.HB V.bus,max / I.Lm.pk</t>
        </is>
      </c>
      <c r="C107" s="87">
        <f>'Design Spec'!$D$46*SQRT(2)*'Design Spec'!$D$14/'Res. Tank Design'!$D$73/1000</f>
      </c>
      <c r="D107" s="10" t="inlineStr">
        <is>
          <t xml:space="preserve">ns</t>
        </is>
      </c>
    </row>
    <row r="108">
      <c r="B108" s="10" t="inlineStr">
        <is>
          <t xml:space="preserve">Midpoint swing at start-up: c.HB V.bus,FB / I.su</t>
        </is>
      </c>
      <c r="C108" s="87">
        <f>'Design Spec'!$D$46*C79/'Res. Tank Design'!$D$84/1000</f>
      </c>
      <c r="D108" s="10" t="inlineStr">
        <is>
          <t xml:space="preserve">ns</t>
        </is>
      </c>
    </row>
    <row r="109">
      <c r="B109" s="10" t="inlineStr">
        <is>
          <t xml:space="preserve">Miller current into an off gate during the faster swing</t>
        </is>
      </c>
      <c r="C109" s="87">
        <f>'Power Components'!$D$68*'Power Components'!$D$82/MIN(C107,C108)</f>
      </c>
      <c r="D109" s="10" t="inlineStr">
        <is>
          <t xml:space="preserve">A</t>
        </is>
      </c>
    </row>
    <row r="110">
      <c r="B110" s="10" t="inlineStr">
        <is>
          <t xml:space="preserve">Gate kick, resistive estimate: i.M x sink path</t>
        </is>
      </c>
      <c r="C110" s="87">
        <f>C109*(C81+C88+C87)</f>
      </c>
      <c r="D110" s="10" t="inlineStr">
        <is>
          <t xml:space="preserve">V</t>
        </is>
      </c>
    </row>
    <row r="111">
      <c r="B111" s="10" t="inlineStr">
        <is>
          <t xml:space="preserve">Gate kick, capacitive bound: Q.gd / (C.gs + C.gs option)</t>
        </is>
      </c>
      <c r="C111" s="87">
        <f>'Power Components'!$D$68*'Power Components'!$D$82/('Power Components'!$D$68*'Power Components'!$D$77+'Power Components'!$F$109)</f>
      </c>
      <c r="D111" s="10" t="inlineStr">
        <is>
          <t xml:space="preserve">V</t>
        </is>
      </c>
    </row>
    <row r="112">
      <c r="B112" s="10" t="inlineStr">
        <is>
          <t xml:space="preserve">k.Miller = V.th min / the smaller kick</t>
        </is>
      </c>
      <c r="C112" s="87">
        <f>'Power Components'!$D$81/MIN(C110,C111)</f>
      </c>
      <c r="D112" s="10" t="inlineStr">
        <is>
          <t xml:space="preserve">-</t>
        </is>
      </c>
    </row>
    <row r="113">
      <c r="B113" s="10" t="inlineStr">
        <is>
          <t xml:space="preserve">C.gs needed (0 if the gate holds without it)</t>
        </is>
      </c>
      <c r="C113" s="87">
        <f>IF(MIN(C110,C111)&lt;='Power Components'!$D$81,0,MAX(0,'Power Components'!$D$68*('Power Components'!$D$82/'Power Components'!$D$81-'Power Components'!$D$77)))</f>
      </c>
      <c r="D113" s="10" t="inlineStr">
        <is>
          <t xml:space="preserve">nF</t>
        </is>
      </c>
    </row>
    <row r="114">
      <c r="B114" s="10" t="inlineStr">
        <is>
          <t xml:space="preserve">C.gs recommended: E6 above the need</t>
        </is>
      </c>
      <c r="C114" s="87">
        <f>IF(C113=0,0,IF((C113)&lt;=0,0,-10^INT(LOG10((C113)*0.999999))*LOOKUP(-(C113)*0.999999/10^INT(LOG10((C113)*0.999999)),{-10,-6.8,-4.7,-3.3,-2.2,-1.5,-1})))</f>
      </c>
      <c r="D114" s="10" t="inlineStr">
        <is>
          <t xml:space="preserve">nF</t>
        </is>
      </c>
    </row>
    <row r="115">
      <c r="B115" s="10" t="inlineStr">
        <is>
          <t xml:space="preserve">t.on: IC edge -&gt; V.th</t>
        </is>
      </c>
      <c r="C115" s="87">
        <f>'Power Components'!$D$96+C90*LN(C82/(C82-'Power Components'!$D$80))</f>
      </c>
      <c r="D115" s="10" t="inlineStr">
        <is>
          <t xml:space="preserve">ns</t>
        </is>
      </c>
    </row>
    <row r="116">
      <c r="B116" s="10" t="inlineStr">
        <is>
          <t xml:space="preserve">IC edge -&gt; plateau on the way up</t>
        </is>
      </c>
      <c r="C116" s="87">
        <f>'Power Components'!$D$96+C90*LN(C82/(C82-'Power Components'!$D$79))</f>
      </c>
      <c r="D116" s="10" t="inlineStr">
        <is>
          <t xml:space="preserve">ns</t>
        </is>
      </c>
    </row>
    <row r="117">
      <c r="B117" s="10" t="inlineStr">
        <is>
          <t xml:space="preserve">t.off: IC edge -&gt; below V.th min</t>
        </is>
      </c>
      <c r="C117" s="87">
        <f>IF('Power Components'!$D$81&gt;C89,'Power Components'!$D$96+C91*LN((C82-C89)/('Power Components'!$D$81-C89)),"never")</f>
      </c>
      <c r="D117" s="10" t="inlineStr">
        <is>
          <t xml:space="preserve">ns</t>
        </is>
      </c>
    </row>
    <row r="118">
      <c r="B118" s="10" t="inlineStr">
        <is>
          <t xml:space="preserve">IC edge -&gt; plateau on the way down</t>
        </is>
      </c>
      <c r="C118" s="87">
        <f>'Power Components'!$D$96+C91*LN((C82-C89)/('Power Components'!$D$79-C89))</f>
      </c>
      <c r="D118" s="10" t="inlineStr">
        <is>
          <t xml:space="preserve">ns</t>
        </is>
      </c>
    </row>
    <row r="119">
      <c r="B119" s="10" t="inlineStr">
        <is>
          <t xml:space="preserve">t.D.need = (t.off.pl - t.pd) + swing - (t.on - t.pd) + MT</t>
        </is>
      </c>
      <c r="C119" s="87">
        <f>C118-C115+C107+'Power Components'!$D$97</f>
      </c>
      <c r="D119" s="10" t="inlineStr">
        <is>
          <t xml:space="preserve">ns</t>
        </is>
      </c>
    </row>
    <row r="120">
      <c r="B120" s="10" t="inlineStr">
        <is>
          <t xml:space="preserve">t.D.max = T/4 at f.Max + (t.off.pl - t.on.pl) - MT: on at the plateau before the reversal</t>
        </is>
      </c>
      <c r="C120" s="87">
        <f>10^6/(4*'Device Setting'!$D$27)+C118-C116-'Power Components'!$D$97</f>
      </c>
      <c r="D120" s="10" t="inlineStr">
        <is>
          <t xml:space="preserve">ns</t>
        </is>
      </c>
    </row>
    <row r="121">
      <c r="B121" s="10" t="inlineStr">
        <is>
          <t xml:space="preserve">Turn-off path that holds the gate below V.th min against the Miller current</t>
        </is>
      </c>
      <c r="C121" s="87">
        <f>'Power Components'!$D$81/C109-C81-C87</f>
      </c>
      <c r="D121" s="10" t="inlineStr">
        <is>
          <t xml:space="preserve">Ω</t>
        </is>
      </c>
    </row>
    <row r="122">
      <c r="B122" s="10" t="inlineStr">
        <is>
          <t xml:space="preserve">Turn-off path that has the gate off before the other side turns on (t.D + t.on)</t>
        </is>
      </c>
      <c r="C122" s="87">
        <f>(MAX('Design Spec'!$D$47,'Power Components'!$D$98)+C115-'Power Components'!$D$96)/(LN((C82-C89)/('Power Components'!$D$81-C89))*C86)-C81-C87</f>
      </c>
      <c r="D122" s="10" t="inlineStr">
        <is>
          <t xml:space="preserve">Ω</t>
        </is>
      </c>
    </row>
    <row r="123">
      <c r="B123" s="10" t="inlineStr">
        <is>
          <t xml:space="preserve">Turn-off path max: the overlap limit, and the Miller limit unless C.gs alone holds</t>
        </is>
      </c>
      <c r="C123" s="87">
        <f>IF(C111&lt;='Power Components'!$D$81,C122,MIN(C122,C121))</f>
      </c>
      <c r="D123" s="10" t="inlineStr">
        <is>
          <t xml:space="preserve">Ω</t>
        </is>
      </c>
    </row>
    <row r="124">
      <c r="B124" s="10" t="inlineStr">
        <is>
          <t xml:space="preserve">R.off max (in parallel with R.on unless V.F = 0)</t>
        </is>
      </c>
      <c r="C124" s="87">
        <f>IF(C123&lt;=0,"lower R.on",IF('Power Components'!$F$108=0,C123,IF(C123&gt;='Power Components'!$F$106,"any",1/(1/C123-1/'Power Components'!$F$106))))</f>
      </c>
      <c r="D124" s="10" t="inlineStr">
        <is>
          <t xml:space="preserve">Ω</t>
        </is>
      </c>
    </row>
    <row r="125">
      <c r="B125" s="10" t="inlineStr">
        <is>
          <t xml:space="preserve">R.off recommended: half of min(R.on, R.off max), E12 below</t>
        </is>
      </c>
      <c r="C125" s="87">
        <f>IF((MIN('Power Components'!$F$106,IF(ISNUMBER(C124),C124,1E9))/2)&lt;=0,0,10^INT(LOG10((MIN('Power Components'!$F$106,IF(ISNUMBER(C124),C124,1E9))/2)*1.000001))*LOOKUP((MIN('Power Components'!$F$106,IF(ISNUMBER(C124),C124,1E9))/2)*1.000001/10^INT(LOG10((MIN('Power Components'!$F$106,IF(ISNUMBER(C124),C124,1E9))/2)*1.000001)),{1,1.2,1.5,1.8,2.2,2.7,3.3,3.9,4.7,5.6,6.8,8.2}))</f>
      </c>
      <c r="D125" s="10" t="inlineStr">
        <is>
          <t xml:space="preserve">Ω</t>
        </is>
      </c>
    </row>
    <row r="126">
      <c r="B126" s="10" t="inlineStr">
        <is>
          <t xml:space="preserve">C.boot min: 10 x C.G</t>
        </is>
      </c>
      <c r="C126" s="87">
        <f>10*C86</f>
      </c>
      <c r="D126" s="10" t="inlineStr">
        <is>
          <t xml:space="preserve">nF</t>
        </is>
      </c>
    </row>
    <row r="127">
      <c r="B127" s="10" t="inlineStr">
        <is>
          <t xml:space="preserve">C.boot max: the first LOUT pulse still charges it to V.bo.min (with R.boot)</t>
        </is>
      </c>
      <c r="C127" s="87">
        <f>IF(C82-'Power Components'!$F$112&gt;'Power Components'!$D$103,C92/(MAX('Power Components'!$F$111,0.5)*LN((C82-'Power Components'!$F$112)/(C82-'Power Components'!$F$112-'Power Components'!$D$103))),0)</f>
      </c>
      <c r="D127" s="10" t="inlineStr">
        <is>
          <t xml:space="preserve">nF</t>
        </is>
      </c>
    </row>
    <row r="128">
      <c r="B128" s="10" t="inlineStr">
        <is>
          <t xml:space="preserve">C.boot recommended: E6 above the min</t>
        </is>
      </c>
      <c r="C128" s="87">
        <f>IF((C126)&lt;=0,0,-10^INT(LOG10((C126)*0.999999))*LOOKUP(-(C126)*0.999999/10^INT(LOG10((C126)*0.999999)),{-10,-6.8,-4.7,-3.3,-2.2,-1.5,-1}))</f>
      </c>
      <c r="D128" s="10" t="inlineStr">
        <is>
          <t xml:space="preserve">nF</t>
        </is>
      </c>
    </row>
    <row r="129">
      <c r="B129" s="10" t="inlineStr">
        <is>
          <t xml:space="preserve">τ.boot (a diode alone taken as 0.5 Ω)</t>
        </is>
      </c>
      <c r="C129" s="87">
        <f>MAX('Power Components'!$F$111,0.5)*'Power Components'!$F$110</f>
      </c>
      <c r="D129" s="10" t="inlineStr">
        <is>
          <t xml:space="preserve">ns</t>
        </is>
      </c>
    </row>
    <row r="130">
      <c r="B130" s="10" t="inlineStr">
        <is>
          <t xml:space="preserve">R.boot max: the first LOUT pulse reaches V.bo.min (with C.boot)</t>
        </is>
      </c>
      <c r="C130" s="87">
        <f>IF(C82-'Power Components'!$F$112&gt;'Power Components'!$D$103,C92/('Power Components'!$F$110*LN((C82-'Power Components'!$F$112)/(C82-'Power Components'!$F$112-'Power Components'!$D$103))),"V.drv too low")</f>
      </c>
      <c r="D130" s="10" t="inlineStr">
        <is>
          <t xml:space="preserve">Ω</t>
        </is>
      </c>
    </row>
    <row r="131">
      <c r="B131" s="10" t="inlineStr">
        <is>
          <t xml:space="preserve">R.boot recommended: half the max, E12 below</t>
        </is>
      </c>
      <c r="C131" s="87">
        <f>IF(ISNUMBER(C130),IF((C130/2)&lt;=0,0,10^INT(LOG10((C130/2)*1.000001))*LOOKUP((C130/2)*1.000001/10^INT(LOG10((C130/2)*1.000001)),{1,1.2,1.5,1.8,2.2,2.7,3.3,3.9,4.7,5.6,6.8,8.2})),C130)</f>
      </c>
      <c r="D131" s="10" t="inlineStr">
        <is>
          <t xml:space="preserve">Ω</t>
        </is>
      </c>
    </row>
    <row r="132">
      <c r="B132" s="10" t="inlineStr">
        <is>
          <t xml:space="preserve">V.BS after the first LOUT pulse</t>
        </is>
      </c>
      <c r="C132" s="87">
        <f>(C82-'Power Components'!$F$112)*(1-EXP(-C92/C129))</f>
      </c>
      <c r="D132" s="10" t="inlineStr">
        <is>
          <t xml:space="preserve">V</t>
        </is>
      </c>
    </row>
    <row r="133">
      <c r="B133" s="10" t="inlineStr">
        <is>
          <t xml:space="preserve">V.BS drop per high-side pulse at f.SU (gate charge + floating quiescent 120 uA)</t>
        </is>
      </c>
      <c r="C133" s="87">
        <f>C86*C94/'Power Components'!$F$110+0.00012*C92/'Power Components'!$F$110</f>
      </c>
      <c r="D133" s="10" t="inlineStr">
        <is>
          <t xml:space="preserve">V</t>
        </is>
      </c>
    </row>
    <row r="134">
      <c r="B134" s="10" t="inlineStr">
        <is>
          <t xml:space="preserve">V.BS lowest, steady at f.SU</t>
        </is>
      </c>
      <c r="C134" s="87">
        <f>C82-'Power Components'!$F$112-C133*EXP(-C92/C129)/(1-EXP(-C92/C129))-C133</f>
      </c>
      <c r="D134" s="10" t="inlineStr">
        <is>
          <t xml:space="preserve">V</t>
        </is>
      </c>
    </row>
    <row r="135">
      <c r="B135" s="10" t="inlineStr">
        <is>
          <t xml:space="preserve">P.Ron at f.Max</t>
        </is>
      </c>
      <c r="C135" s="87">
        <f>(C96*'Power Components'!$F$106/(C80+'Power Components'!$F$106+C87)+IF('Power Components'!$F$108=0,0,C97*C88/(C81+C88+C87)*C88/'Power Components'!$F$106))*'Device Setting'!$D$27*10^-6</f>
      </c>
      <c r="D135" s="10" t="inlineStr">
        <is>
          <t xml:space="preserve">W</t>
        </is>
      </c>
    </row>
    <row r="136">
      <c r="B136" s="10" t="inlineStr">
        <is>
          <t xml:space="preserve">P.Roff at f.Max</t>
        </is>
      </c>
      <c r="C136" s="87">
        <f>IF('Power Components'!$F$107&gt;0,C97*C88/(C81+C88+C87)*IF('Power Components'!$F$108=0,1,C88/'Power Components'!$F$107)*'Device Setting'!$D$27*10^-6,0)</f>
      </c>
      <c r="D136" s="10" t="inlineStr">
        <is>
          <t xml:space="preserve">W</t>
        </is>
      </c>
    </row>
    <row r="137">
      <c r="B137" s="10" t="inlineStr">
        <is>
          <t xml:space="preserve">Driver junction at f.Max and Ta (Power Components D73)</t>
        </is>
      </c>
      <c r="C137" s="87">
        <f>'Power Components'!$D$73+C100*'Power Components'!$D$101</f>
      </c>
      <c r="D137"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