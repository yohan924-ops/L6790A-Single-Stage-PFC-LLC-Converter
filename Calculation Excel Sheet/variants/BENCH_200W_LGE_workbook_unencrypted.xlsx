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<sst xmlns="http://schemas.openxmlformats.org/spreadsheetml/2006/main" count="2127" uniqueCount="1232">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</sst>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202</xdr:row>
      <xdr:rowOff>171360</xdr:rowOff>
    </xdr:from>
    <xdr:to>
      <xdr:col>1</xdr:col>
      <xdr:colOff>2876760</xdr:colOff>
      <xdr:row>216</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202</xdr:row>
      <xdr:rowOff>56160</xdr:rowOff>
    </xdr:from>
    <xdr:to>
      <xdr:col>4</xdr:col>
      <xdr:colOff>303840</xdr:colOff>
      <xdr:row>216</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oneCellAnchor>
    <xdr:from>
      <xdr:col>6</xdr:col>
      <xdr:colOff>76200</xdr:colOff>
      <xdr:row>120</xdr:row>
      <xdr:rowOff>0</xdr:rowOff>
    </xdr:from>
    <xdr:ext cx="7239000" cy="4262966"/>
    <xdr:pic>
      <xdr:nvPicPr>
        <xdr:cNvPr id="15" name="Gate drive schematic"/>
        <xdr:cNvPicPr>
          <a:picLocks noChangeAspect="1"/>
        </xdr:cNvPicPr>
      </xdr:nvPicPr>
      <xdr:blipFill>
        <a:blip xmlns:r="http://schemas.openxmlformats.org/officeDocument/2006/relationships" r:embed="rId4"/>
        <a:stretch>
          <a:fillRect/>
        </a:stretch>
      </xdr:blipFill>
      <xdr:spPr>
        <a:xfrm>
          <a:off x="0" y="0"/>
          <a:ext cx="7239000" cy="426296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measured 200 W copy, 2026-10-09 (user): the vendor-wound 5:2 transformers measure 10.3 uH open and 1.9/2.0/1.8 uH leakage (secondaries shorted) per unit, about half the 3.67 uH the tank was designed for. Tank re-checked for a 200 W test; stay out of 150-180 Vac, where the full-bridge line peak needs more than f.Max.</t>
        </is>
      </c>
    </row>
    <row r="119">
      <c r="B119" s="8" t="inlineStr">
        <is>
          <t xml:space="preserve">Design Spec</t>
        </is>
      </c>
      <c r="C119" s="8" t="inlineStr">
        <is>
          <t xml:space="preserve">D27</t>
        </is>
      </c>
      <c r="D119" s="8" t="inlineStr">
        <is>
          <t xml:space="preserve">657.5</t>
        </is>
      </c>
      <c r="E119" s="8" t="inlineStr">
        <is>
          <t xml:space="preserve">200</t>
        </is>
      </c>
      <c r="F119" s="8" t="inlineStr">
        <is>
          <t xml:space="preserve">Pout, W - 200 W bench test</t>
        </is>
      </c>
    </row>
    <row r="120">
      <c r="B120" s="8" t="inlineStr">
        <is>
          <t xml:space="preserve">Res. Tank Design</t>
        </is>
      </c>
      <c r="C120" s="8" t="inlineStr">
        <is>
          <t xml:space="preserve">F9</t>
        </is>
      </c>
      <c r="D120" s="8" t="inlineStr">
        <is>
          <t xml:space="preserve">6.0241</t>
        </is>
      </c>
      <c r="E120" s="8" t="inlineStr">
        <is>
          <t xml:space="preserve">6.773</t>
        </is>
      </c>
      <c r="F120" s="8" t="inlineStr">
        <is>
          <t xml:space="preserve">n effective = 7.5/sqrt(1 + L.r/L.m), measured lambda 0.226</t>
        </is>
      </c>
    </row>
    <row r="121">
      <c r="B121" s="8" t="inlineStr">
        <is>
          <t xml:space="preserve">Res. Tank Design</t>
        </is>
      </c>
      <c r="C121" s="8" t="inlineStr">
        <is>
          <t xml:space="preserve">F44</t>
        </is>
      </c>
      <c r="D121" s="8" t="inlineStr">
        <is>
          <t xml:space="preserve">11</t>
        </is>
      </c>
      <c r="E121" s="8" t="inlineStr">
        <is>
          <t xml:space="preserve">5.7</t>
        </is>
      </c>
      <c r="F121" s="8" t="inlineStr">
        <is>
          <t xml:space="preserve">L.r, uH - measured 1.9+2.0+1.8</t>
        </is>
      </c>
    </row>
    <row r="122">
      <c r="B122" s="8" t="inlineStr">
        <is>
          <t xml:space="preserve">Res. Tank Design</t>
        </is>
      </c>
      <c r="C122" s="8" t="inlineStr">
        <is>
          <t xml:space="preserve">F45</t>
        </is>
      </c>
      <c r="D122" s="8" t="inlineStr">
        <is>
          <t xml:space="preserve">20</t>
        </is>
      </c>
      <c r="E122" s="8" t="inlineStr">
        <is>
          <t xml:space="preserve">25.2</t>
        </is>
      </c>
      <c r="F122" s="8" t="inlineStr">
        <is>
          <t xml:space="preserve">L.m, uH - 3 x 10.3 measured open minus L.r</t>
        </is>
      </c>
    </row>
    <row r="123">
      <c r="B123" s="8" t="inlineStr">
        <is>
          <t xml:space="preserve">Device Setting</t>
        </is>
      </c>
      <c r="C123" s="8" t="inlineStr">
        <is>
          <t xml:space="preserve">F24</t>
        </is>
      </c>
      <c r="D123" s="8" t="inlineStr">
        <is>
          <t xml:space="preserve">11</t>
        </is>
      </c>
      <c r="E123" s="8" t="inlineStr">
        <is>
          <t xml:space="preserve">9.1</t>
        </is>
      </c>
      <c r="F123" s="8" t="inlineStr">
        <is>
          <t xml:space="preserve">R.T, kOhm - as fitted on the bench board (2026-10-14): f.Min 110 kHz, PF 0.98 at 110 Vac/50 Hz; 6.8 kOhm (f.Min 145 kHz) was the value that held 110 Vac 200 W on board 1, where 8.2 and 10 kOhm lost regulation after ~20 s; 11 kOhm (f.Min 92 kHz) failed too. Long-run 200 W check at 9.1 kOhm still open</t>
        </is>
      </c>
    </row>
    <row r="124">
      <c r="B124" s="8" t="inlineStr">
        <is>
          <t xml:space="preserve">Device Setting</t>
        </is>
      </c>
      <c r="C124" s="8" t="inlineStr">
        <is>
          <t xml:space="preserve">F61</t>
        </is>
      </c>
      <c r="D124" s="8" t="inlineStr">
        <is>
          <t xml:space="preserve">30</t>
        </is>
      </c>
      <c r="E124" s="8" t="inlineStr">
        <is>
          <t xml:space="preserve">16</t>
        </is>
      </c>
      <c r="F124" s="8" t="inlineStr">
        <is>
          <t xml:space="preserve">R.BM, kOhm - as fitted on the bench board (2026-10-11)</t>
        </is>
      </c>
    </row>
    <row r="125">
      <c r="B125" s="8" t="inlineStr">
        <is>
          <t xml:space="preserve">Device Setting</t>
        </is>
      </c>
      <c r="C125" s="8" t="inlineStr">
        <is>
          <t xml:space="preserve">F91</t>
        </is>
      </c>
      <c r="D125" s="8" t="inlineStr">
        <is>
          <t xml:space="preserve">220</t>
        </is>
      </c>
      <c r="E125" s="8" t="inlineStr">
        <is>
          <t xml:space="preserve">360</t>
        </is>
      </c>
      <c r="F125" s="8" t="inlineStr">
        <is>
          <t xml:space="preserve">R.ZCD.H, kOhm - as fitted on the bench board (2026-10-11; board 2 ran 540 kOhm until 2026-10-14, where the ZCD peak 1.3 V never reached the 1.36 V start-up end threshold); 20 pF on the ZCD pin. ZCD measured 2.0 V peak at 360 kOhm, so aux/sec is about 1.5, not the 1 this book assumes</t>
        </is>
      </c>
    </row>
    <row r="126">
      <c r="B126" s="8" t="inlineStr">
        <is>
          <t xml:space="preserve">Device Setting</t>
        </is>
      </c>
      <c r="C126" s="8" t="inlineStr">
        <is>
          <t xml:space="preserve">F108</t>
        </is>
      </c>
      <c r="D126" s="8" t="inlineStr">
        <is>
          <t xml:space="preserve">30</t>
        </is>
      </c>
      <c r="E126" s="8" t="inlineStr">
        <is>
          <t xml:space="preserve">13</t>
        </is>
      </c>
      <c r="F126" s="8" t="inlineStr">
        <is>
          <t xml:space="preserve">R.CFG, kOhm - as fitted on the bench board (2026-10-11); below the 15 kOhm of DS Table 6</t>
        </is>
      </c>
    </row>
    <row r="127">
      <c r="B127" s="8" t="inlineStr">
        <is>
          <t xml:space="preserve">Power Components</t>
        </is>
      </c>
      <c r="C127" s="8" t="inlineStr">
        <is>
          <t xml:space="preserve">F7</t>
        </is>
      </c>
      <c r="D127" s="8" t="inlineStr">
        <is>
          <t xml:space="preserve">2200</t>
        </is>
      </c>
      <c r="E127" s="8" t="inlineStr">
        <is>
          <t xml:space="preserve">660</t>
        </is>
      </c>
      <c r="F127" s="8" t="inlineStr">
        <is>
          <t xml:space="preserve">C.in, nF - as fitted on the bench board (2 x 330 nF, 2026-10-12); C.in.min = 3 nF/W x P.in = 617 nF at 200 W</t>
        </is>
      </c>
    </row>
    <row r="128">
      <c r="B128" s="8" t="inlineStr">
        <is>
          <t xml:space="preserve">Power Components</t>
        </is>
      </c>
      <c r="C128" s="8" t="inlineStr">
        <is>
          <t xml:space="preserve">D23</t>
        </is>
      </c>
      <c r="D128" s="8" t="inlineStr">
        <is>
          <t xml:space="preserve">160</t>
        </is>
      </c>
      <c r="E128" s="8" t="inlineStr">
        <is>
          <t xml:space="preserve">5</t>
        </is>
      </c>
      <c r="F128" s="8" t="inlineStr">
        <is>
          <t xml:space="preserve">n.Cout - as fitted on the bench board (5 x 6800 uF, 2026-10-12)</t>
        </is>
      </c>
    </row>
    <row r="129">
      <c r="B129" s="8" t="inlineStr">
        <is>
          <t xml:space="preserve">Power Components</t>
        </is>
      </c>
      <c r="C129" s="8" t="inlineStr">
        <is>
          <t xml:space="preserve">D24</t>
        </is>
      </c>
      <c r="D129" s="8" t="inlineStr">
        <is>
          <t xml:space="preserve">470</t>
        </is>
      </c>
      <c r="E129" s="8" t="inlineStr">
        <is>
          <t xml:space="preserve">6800</t>
        </is>
      </c>
      <c r="F129" s="8" t="inlineStr">
        <is>
          <t xml:space="preserve">Cout.single, uF - as fitted on the bench board (2026-10-12)</t>
        </is>
      </c>
    </row>
    <row r="131">
      <c r="F131" s="8" t="inlineStr">
        <is>
          <t xml:space="preserve">LGE 200 W workbook copy, 2026-10-16: inputs LGE typed into their sheet-protected copy of the old ST tool, ported here and checked against the schematic of the same date (L6790A board, sheet 3 of 3). Not ported: Vin.min 180 Vac (F20 stays the 173.2 Vac morphing formula), Vrect 0.395 V and the STPS30M60S entry (the old tool has no SR option; this book models the TPH3R70APL1 SR of the board with Conf.SR = 2, RD 3.7 mOhm, Vrect 0).</t>
        </is>
      </c>
    </row>
    <row r="132">
      <c r="B132" s="8" t="inlineStr">
        <is>
          <t xml:space="preserve">Design Spec</t>
        </is>
      </c>
      <c r="C132" s="8" t="inlineStr">
        <is>
          <t xml:space="preserve">D29</t>
        </is>
      </c>
      <c r="D132" s="8" t="inlineStr">
        <is>
          <t xml:space="preserve">25</t>
        </is>
      </c>
      <c r="E132" s="8" t="inlineStr">
        <is>
          <t xml:space="preserve">30</t>
        </is>
      </c>
      <c r="F132" s="8" t="inlineStr">
        <is>
          <t xml:space="preserve">h, mm - max output capacitor height (LGE workbook)</t>
        </is>
      </c>
    </row>
    <row r="133">
      <c r="B133" s="8" t="inlineStr">
        <is>
          <t xml:space="preserve">Design Spec</t>
        </is>
      </c>
      <c r="C133" s="8" t="inlineStr">
        <is>
          <t xml:space="preserve">D46</t>
        </is>
      </c>
      <c r="D133" s="8" t="inlineStr">
        <is>
          <t xml:space="preserve">800</t>
        </is>
      </c>
      <c r="E133" s="8" t="inlineStr">
        <is>
          <t xml:space="preserve">5529</t>
        </is>
      </c>
      <c r="F133" s="8" t="inlineStr">
        <is>
          <t xml:space="preserve">c.HB, pF - 2 x Coss(tr) 897 pF x 400 V / 245 V = 2929 pF (l6790 [116]) + 100 pF stray + C115/C117 2.2 nF/2 kV at the midpoint + 2 x 150 pF drain-source (fitted, N.C. on the schematic) = 5529 pF; LGE typed 500 pF, which leaves out the snubbers</t>
        </is>
      </c>
    </row>
    <row r="134">
      <c r="B134" s="8" t="inlineStr">
        <is>
          <t xml:space="preserve">Design Spec</t>
        </is>
      </c>
      <c r="C134" s="8" t="inlineStr">
        <is>
          <t xml:space="preserve">D47</t>
        </is>
      </c>
      <c r="D134" s="8" t="inlineStr">
        <is>
          <t xml:space="preserve">220</t>
        </is>
      </c>
      <c r="E134" s="8" t="inlineStr">
        <is>
          <t xml:space="preserve">270</t>
        </is>
      </c>
      <c r="F134" s="8" t="inlineStr">
        <is>
          <t xml:space="preserve">t.D, ns - dead time as typed by LGE</t>
        </is>
      </c>
    </row>
    <row r="135">
      <c r="B135" s="8" t="inlineStr">
        <is>
          <t xml:space="preserve">Res. Tank Design</t>
        </is>
      </c>
      <c r="C135" s="8" t="inlineStr">
        <is>
          <t xml:space="preserve">F43</t>
        </is>
      </c>
      <c r="D135" s="8" t="inlineStr">
        <is>
          <t xml:space="preserve">100</t>
        </is>
      </c>
      <c r="E135" s="8" t="inlineStr">
        <is>
          <t xml:space="preserve">117</t>
        </is>
      </c>
      <c r="F135" s="8" t="inlineStr">
        <is>
          <t xml:space="preserve">C.r, nF - board 47 nF 630 V X7R 2S x 5P = 117.5 nF (C106..C116)</t>
        </is>
      </c>
    </row>
    <row r="136">
      <c r="B136" s="8" t="inlineStr">
        <is>
          <t xml:space="preserve">Power Components</t>
        </is>
      </c>
      <c r="C136" s="8" t="inlineStr">
        <is>
          <t xml:space="preserve">D38</t>
        </is>
      </c>
      <c r="D136" s="8" t="inlineStr">
        <is>
          <t xml:space="preserve">10</t>
        </is>
      </c>
      <c r="E136" s="8" t="inlineStr">
        <is>
          <t xml:space="preserve">50</t>
        </is>
      </c>
      <c r="F136" s="8" t="inlineStr">
        <is>
          <t xml:space="preserve">Cceramic, uF - 5 x 10 uF/50 V beside the 5 x 6800 uF</t>
        </is>
      </c>
    </row>
    <row r="137">
      <c r="B137" s="8" t="inlineStr">
        <is>
          <t xml:space="preserve">Device Setting</t>
        </is>
      </c>
      <c r="C137" s="8" t="inlineStr">
        <is>
          <t xml:space="preserve">D57</t>
        </is>
      </c>
      <c r="D137" s="8" t="inlineStr">
        <is>
          <t xml:space="preserve">75</t>
        </is>
      </c>
      <c r="E137" s="8" t="inlineStr">
        <is>
          <t xml:space="preserve">0</t>
        </is>
      </c>
      <c r="F137" s="8" t="inlineStr">
        <is>
          <t xml:space="preserve">P.in.BM, W - burst mode not used: BM pin grounded through R211 0 ohm</t>
        </is>
      </c>
    </row>
    <row r="138">
      <c r="B138" s="8" t="inlineStr">
        <is>
          <t xml:space="preserve">Device Setting</t>
        </is>
      </c>
      <c r="C138" s="8" t="inlineStr">
        <is>
          <t xml:space="preserve">F61</t>
        </is>
      </c>
      <c r="D138" s="8" t="inlineStr">
        <is>
          <t xml:space="preserve">16</t>
        </is>
      </c>
      <c r="E138" s="8" t="inlineStr">
        <is>
          <t xml:space="preserve">0</t>
        </is>
      </c>
      <c r="F138" s="8" t="inlineStr">
        <is>
          <t xml:space="preserve">R.BM, kOhm - R211 0 ohm, BM grounded</t>
        </is>
      </c>
    </row>
    <row r="139">
      <c r="B139" s="8" t="inlineStr">
        <is>
          <t xml:space="preserve">Device Setting</t>
        </is>
      </c>
      <c r="C139" s="8" t="inlineStr">
        <is>
          <t xml:space="preserve">F83</t>
        </is>
      </c>
      <c r="D139" s="8" t="inlineStr">
        <is>
          <t xml:space="preserve">1.0</t>
        </is>
      </c>
      <c r="E139" s="8" t="inlineStr">
        <is>
          <t xml:space="preserve">1.5</t>
        </is>
      </c>
      <c r="F139" s="8" t="inlineStr">
        <is>
          <t xml:space="preserve">n.aux/n.sec - aux 3 T (pins 8-7) over the 2 T secondary; matches the ZCD 2.0 V peak measured at 360 k; lower ZCD resistor R208 18 k + R213 1 k = 19 k (F90)</t>
        </is>
      </c>
    </row>
    <row r="140">
      <c r="B140" s="8" t="inlineStr">
        <is>
          <t xml:space="preserve">CompensationNet&amp;Check</t>
        </is>
      </c>
      <c r="C140" s="8" t="inlineStr">
        <is>
          <t xml:space="preserve">C19</t>
        </is>
      </c>
      <c r="D140" s="8" t="inlineStr">
        <is>
          <t xml:space="preserve">TL431AIT</t>
        </is>
      </c>
      <c r="E140" s="8" t="inlineStr">
        <is>
          <t xml:space="preserve">TL431G-AE2-R</t>
        </is>
      </c>
      <c r="F140" s="8" t="inlineStr">
        <is>
          <t xml:space="preserve">TL431 part as on the board (Q44/Q46)</t>
        </is>
      </c>
    </row>
    <row r="141">
      <c r="B141" s="8" t="inlineStr">
        <is>
          <t xml:space="preserve">CompensationNet&amp;Check</t>
        </is>
      </c>
      <c r="C141" s="8" t="inlineStr">
        <is>
          <t xml:space="preserve">D23</t>
        </is>
      </c>
      <c r="D141" s="8" t="inlineStr">
        <is>
          <t xml:space="preserve">0.8</t>
        </is>
      </c>
      <c r="E141" s="8" t="inlineStr">
        <is>
          <t xml:space="preserve">0.5</t>
        </is>
      </c>
      <c r="F141" s="8" t="inlineStr">
        <is>
          <t xml:space="preserve">I.min, mA - TL431G-AE2-R as typed by LGE</t>
        </is>
      </c>
    </row>
    <row r="142">
      <c r="B142" s="8" t="inlineStr">
        <is>
          <t xml:space="preserve">CompensationNet&amp;Check</t>
        </is>
      </c>
      <c r="C142" s="8" t="inlineStr">
        <is>
          <t xml:space="preserve">C25</t>
        </is>
      </c>
      <c r="D142" s="8" t="inlineStr">
        <is>
          <t xml:space="preserve">SFH617A</t>
        </is>
      </c>
      <c r="E142" s="8" t="inlineStr">
        <is>
          <t xml:space="preserve">UPC1008G-LS04-R</t>
        </is>
      </c>
      <c r="F142" s="8" t="inlineStr">
        <is>
          <t xml:space="preserve">optocoupler as on the board (U13)</t>
        </is>
      </c>
    </row>
    <row r="143">
      <c r="B143" s="8" t="inlineStr">
        <is>
          <t xml:space="preserve">CompensationNet&amp;Check</t>
        </is>
      </c>
      <c r="C143" s="8" t="inlineStr">
        <is>
          <t xml:space="preserve">D28</t>
        </is>
      </c>
      <c r="D143" s="8" t="inlineStr">
        <is>
          <t xml:space="preserve">1.15</t>
        </is>
      </c>
      <c r="E143" s="8" t="inlineStr">
        <is>
          <t xml:space="preserve">1.45</t>
        </is>
      </c>
      <c r="F143" s="8" t="inlineStr">
        <is>
          <t xml:space="preserve">V.Fo, V - UPC10XX datasheet typ at I.F 50 mA (max 1.6); no V.F curve in the datasheet, the LED runs at 0.2-0.5 mA where V.F is lower, so the R.B window computed from this is on the low side</t>
        </is>
      </c>
    </row>
    <row r="144">
      <c r="B144" s="8" t="inlineStr">
        <is>
          <t xml:space="preserve">CompensationNet&amp;Check</t>
        </is>
      </c>
      <c r="C144" s="8" t="inlineStr">
        <is>
          <t xml:space="preserve">D29</t>
        </is>
      </c>
      <c r="D144" s="8" t="inlineStr">
        <is>
          <t xml:space="preserve">0.37</t>
        </is>
      </c>
      <c r="E144" s="8" t="inlineStr">
        <is>
          <t xml:space="preserve">0.54</t>
        </is>
      </c>
      <c r="F144" s="8" t="inlineStr">
        <is>
          <t xml:space="preserve">CTR.steady at I.tr 150 uA - UPC1008 Ic-If curve (typ 192 % at 5 mA) scaled to the rank minimum 130 %: I.F 0.28 mA, CTR 0.54 (typ 0.71, rank max 0.86)</t>
        </is>
      </c>
    </row>
    <row r="145">
      <c r="B145" s="8" t="inlineStr">
        <is>
          <t xml:space="preserve">CompensationNet&amp;Check</t>
        </is>
      </c>
      <c r="C145" s="8" t="inlineStr">
        <is>
          <t xml:space="preserve">D31</t>
        </is>
      </c>
      <c r="D145" s="8" t="inlineStr">
        <is>
          <t xml:space="preserve">0.53</t>
        </is>
      </c>
      <c r="E145" s="8" t="inlineStr">
        <is>
          <t xml:space="preserve">0.65</t>
        </is>
      </c>
      <c r="F145" s="8" t="inlineStr">
        <is>
          <t xml:space="preserve">CTR.max at I.tr 300 uA - same curve, rank minimum: I.F 0.46 mA, CTR 0.65 (typ 0.86, rank max 1.07)</t>
        </is>
      </c>
    </row>
    <row r="146">
      <c r="B146" s="8" t="inlineStr">
        <is>
          <t xml:space="preserve">CompensationNet&amp;Check</t>
        </is>
      </c>
      <c r="C146" s="8" t="inlineStr">
        <is>
          <t xml:space="preserve">D14</t>
        </is>
      </c>
      <c r="D146" s="8" t="inlineStr">
        <is>
          <t xml:space="preserve">12</t>
        </is>
      </c>
      <c r="E146" s="8" t="inlineStr">
        <is>
          <t xml:space="preserve">11.74</t>
        </is>
      </c>
      <c r="F146" s="8" t="inlineStr">
        <is>
          <t xml:space="preserve">V.Z, V - 12V_FB rail: BSS169 follower, TL431 Q46, R197 100 k (user decision 2026-10-17; schematic had 130 k = 14.5 V) / R204 27 k -&gt; 2.495 x (1 + 100/27) = 11.74 V</t>
        </is>
      </c>
    </row>
    <row r="147">
      <c r="B147" s="8" t="inlineStr">
        <is>
          <t xml:space="preserve">CompensationNet&amp;Check</t>
        </is>
      </c>
      <c r="C147" s="8" t="inlineStr">
        <is>
          <t xml:space="preserve">F93</t>
        </is>
      </c>
      <c r="D147" s="8" t="inlineStr">
        <is>
          <t xml:space="preserve">82</t>
        </is>
      </c>
      <c r="E147" s="8" t="inlineStr">
        <is>
          <t xml:space="preserve">470</t>
        </is>
      </c>
      <c r="F147" s="8" t="inlineStr">
        <is>
          <t xml:space="preserve">C.Fo, nF - 470 nF: compensation re-scaled for the UPC1008 CTR (user decision 2026-10-17; board carries 220 nF until reworked)</t>
        </is>
      </c>
    </row>
    <row r="148">
      <c r="B148" s="8" t="inlineStr">
        <is>
          <t xml:space="preserve">CompensationNet&amp;Check</t>
        </is>
      </c>
      <c r="C148" s="8" t="inlineStr">
        <is>
          <t xml:space="preserve">F94</t>
        </is>
      </c>
      <c r="D148" s="8" t="inlineStr">
        <is>
          <t xml:space="preserve">560</t>
        </is>
      </c>
      <c r="E148" s="8" t="inlineStr">
        <is>
          <t xml:space="preserve">4700</t>
        </is>
      </c>
      <c r="F148" s="8" t="inlineStr">
        <is>
          <t xml:space="preserve">C.F, nF - 4.7 uF (board: C98 2.2 uF || C99 0.1 uF until reworked)</t>
        </is>
      </c>
    </row>
    <row r="149">
      <c r="B149" s="8" t="inlineStr">
        <is>
          <t xml:space="preserve">Power Components</t>
        </is>
      </c>
      <c r="C149" s="8" t="inlineStr">
        <is>
          <t xml:space="preserve">C50</t>
        </is>
      </c>
      <c r="D149" s="8" t="inlineStr">
        <is>
          <t xml:space="preserve">GBJ1506U</t>
        </is>
      </c>
      <c r="E149" s="8" t="inlineStr">
        <is>
          <t xml:space="preserve">GBU1006 x2 (AC pins paired)</t>
        </is>
      </c>
      <c r="F149" s="8" t="inlineStr">
        <is>
          <t xml:space="preserve">bridge label - BD2/BD3 GBU1006, each with its AC pins tied, outputs paralleled; Design Spec D52/D53 diode model left as the ST default</t>
        </is>
      </c>
    </row>
    <row r="150">
      <c r="B150" s="8" t="inlineStr">
        <is>
          <t xml:space="preserve">CompensationNet&amp;Check</t>
        </is>
      </c>
      <c r="C150" s="8" t="inlineStr">
        <is>
          <t xml:space="preserve">F95</t>
        </is>
      </c>
      <c r="D150" s="8" t="inlineStr">
        <is>
          <t xml:space="preserve">47</t>
        </is>
      </c>
      <c r="E150" s="8" t="inlineStr">
        <is>
          <t xml:space="preserve">10</t>
        </is>
      </c>
      <c r="F150" s="8" t="inlineStr">
        <is>
          <t xml:space="preserve">R.F, kOhm - 10 k (board: R187 22 k until reworked); with 470 nF / 4.7 uF / 10 k the loop reads f.cross 12.5 / 15.7 / 18.4 Hz, phase margin 55.6 / 54.1 / 52.2 deg, 3rd harmonic 2.2 / 2.9 / 3.5 % at CTR rank min / typ / max</t>
        </is>
      </c>
    </row>
    <row r="151">
      <c r="B151" s="8" t="inlineStr">
        <is>
          <t xml:space="preserve">CompensationNet&amp;Check</t>
        </is>
      </c>
      <c r="C151" s="8" t="inlineStr">
        <is>
          <t xml:space="preserve">F96</t>
        </is>
      </c>
      <c r="D151" s="8" t="inlineStr">
        <is>
          <t xml:space="preserve">1.55</t>
        </is>
      </c>
      <c r="E151" s="8" t="inlineStr">
        <is>
          <t xml:space="preserve">1.6</t>
        </is>
      </c>
      <c r="F151" s="8" t="inlineStr">
        <is>
          <t xml:space="preserve">C.fx, nF - 1.5 nF + 100 pF at the FB pin</t>
        </is>
      </c>
    </row>
    <row r="152">
      <c r="B152" s="8" t="inlineStr">
        <is>
          <t xml:space="preserve">CompensationNet&amp;Check</t>
        </is>
      </c>
      <c r="C152" s="8" t="inlineStr">
        <is>
          <t xml:space="preserve">D110</t>
        </is>
      </c>
      <c r="D152" s="8" t="inlineStr">
        <is>
          <t xml:space="preserve">47</t>
        </is>
      </c>
      <c r="E152" s="8" t="inlineStr">
        <is>
          <t xml:space="preserve">50</t>
        </is>
      </c>
      <c r="F152" s="8" t="inlineStr">
        <is>
          <t xml:space="preserve">fl, Hz - line frequency of the test (50 Hz)</t>
        </is>
      </c>
    </row>
    <row r="154">
      <c r="F154" s="8" t="inlineStr">
        <is>
          <t xml:space="preserve">bench book brought in line with the 670 W book, 2026-10-18 (user): the inputs that describe the same board hardware in both books now read the same; the measured transformer, the fitted control parts and the 200 W output bank stay as the bench has them.</t>
        </is>
      </c>
    </row>
    <row r="155">
      <c r="B155" s="8" t="inlineStr">
        <is>
          <t xml:space="preserve">Design Spec</t>
        </is>
      </c>
      <c r="C155" s="8" t="inlineStr">
        <is>
          <t xml:space="preserve">D47</t>
        </is>
      </c>
      <c r="D155" s="8" t="inlineStr">
        <is>
          <t xml:space="preserve">270</t>
        </is>
      </c>
      <c r="E155" s="8" t="inlineStr">
        <is>
          <t xml:space="preserve">220</t>
        </is>
      </c>
      <c r="F155" s="8" t="inlineStr">
        <is>
          <t xml:space="preserve">t.D, ns - the design dead time of the SMath sheets and the 670 W book (the IC dead time is adaptive, 40-420 ns); LGE typed 270</t>
        </is>
      </c>
    </row>
    <row r="156">
      <c r="B156" s="8" t="inlineStr">
        <is>
          <t xml:space="preserve">Design Spec</t>
        </is>
      </c>
      <c r="C156" s="8" t="inlineStr">
        <is>
          <t xml:space="preserve">D29</t>
        </is>
      </c>
      <c r="D156" s="8" t="inlineStr">
        <is>
          <t xml:space="preserve">30</t>
        </is>
      </c>
      <c r="E156" s="8" t="inlineStr">
        <is>
          <t xml:space="preserve">37</t>
        </is>
      </c>
      <c r="F156" s="8" t="inlineStr">
        <is>
          <t xml:space="preserve">h, mm - Rubycon PX 6800 uF / 35 V, 18 x 35.5 mm, L + alpha max 37</t>
        </is>
      </c>
    </row>
    <row r="157">
      <c r="B157" s="8" t="inlineStr">
        <is>
          <t xml:space="preserve">Power Components</t>
        </is>
      </c>
      <c r="C157" s="8" t="inlineStr">
        <is>
          <t xml:space="preserve">D25</t>
        </is>
      </c>
      <c r="D157" s="8" t="inlineStr">
        <is>
          <t xml:space="preserve">30</t>
        </is>
      </c>
      <c r="E157" s="8" t="inlineStr">
        <is>
          <t xml:space="preserve">50.7</t>
        </is>
      </c>
      <c r="F157" s="8" t="inlineStr">
        <is>
          <t xml:space="preserve">ESR.single, mOhm - PX tan d 0.26 (0.14 + 0.02 per 1000 uF over 1000) at 120 Hz; no ESR at f.sw in the PX sheet, so an upper bound</t>
        </is>
      </c>
    </row>
    <row r="158">
      <c r="B158" s="8" t="inlineStr">
        <is>
          <t xml:space="preserve">Power Components</t>
        </is>
      </c>
      <c r="C158" s="8" t="inlineStr">
        <is>
          <t xml:space="preserve">D58</t>
        </is>
      </c>
      <c r="D158" s="8" t="inlineStr">
        <is>
          <t xml:space="preserve">1.8</t>
        </is>
      </c>
      <c r="E158" s="8" t="inlineStr">
        <is>
          <t xml:space="preserve">1.9</t>
        </is>
      </c>
      <c r="F158" s="8" t="inlineStr">
        <is>
          <t xml:space="preserve">kT.pri - STO60N045DM9 datasheet, as the guide and 670 W books (fet_xl.py)</t>
        </is>
      </c>
    </row>
    <row r="159">
      <c r="B159" s="8" t="inlineStr">
        <is>
          <t xml:space="preserve">Power Components</t>
        </is>
      </c>
      <c r="C159" s="8" t="inlineStr">
        <is>
          <t xml:space="preserve">D72</t>
        </is>
      </c>
      <c r="D159" s="8" t="inlineStr">
        <is>
          <t xml:space="preserve">10</t>
        </is>
      </c>
      <c r="E159" s="8" t="inlineStr">
        <is>
          <t xml:space="preserve">2600</t>
        </is>
      </c>
      <c r="F159" s="8" t="inlineStr">
        <is>
          <t xml:space="preserve">Cpar, pF - 100 layout + 2200 leg snubber (C115/C117) + 2 x 150 drain-source (C127-C130): the parasitic that c.HB 5529 pF (D46) already contains; feeds D77 for the dv/dt</t>
        </is>
      </c>
    </row>
    <row r="161">
      <c r="F161" s="8" t="inlineStr">
        <is>
          <t xml:space="preserve">c.HB corrected to 3329 pF, 2026-10-18 (user): C115/C117 2.2 nF are across each leg, bus to ground - they do not load the half-bridge midpoint. The 670 W book carries the same 3329 pF.</t>
        </is>
      </c>
    </row>
    <row r="162">
      <c r="B162" s="8" t="inlineStr">
        <is>
          <t xml:space="preserve">Design Spec</t>
        </is>
      </c>
      <c r="C162" s="8" t="inlineStr">
        <is>
          <t xml:space="preserve">D46</t>
        </is>
      </c>
      <c r="D162" s="8" t="inlineStr">
        <is>
          <t xml:space="preserve">5529</t>
        </is>
      </c>
      <c r="E162" s="8" t="inlineStr">
        <is>
          <t xml:space="preserve">3329</t>
        </is>
      </c>
      <c r="F162" s="8" t="inlineStr">
        <is>
          <t xml:space="preserve">c.HB, pF - 2 x Coss(tr) 897 pF x 400 / 245 V = 2929 + 100 layout + 2 x 150 drain-source (C127-C130). C115/C117 2.2 nF are across each leg (VBUS-PGND), not at the midpoint - the 5529 of 10-16 was that misread</t>
        </is>
      </c>
    </row>
    <row r="163">
      <c r="B163" s="8" t="inlineStr">
        <is>
          <t xml:space="preserve">Power Components</t>
        </is>
      </c>
      <c r="C163" s="8" t="inlineStr">
        <is>
          <t xml:space="preserve">D72</t>
        </is>
      </c>
      <c r="D163" s="8" t="inlineStr">
        <is>
          <t xml:space="preserve">2600</t>
        </is>
      </c>
      <c r="E163" s="8" t="inlineStr">
        <is>
          <t xml:space="preserve">400</t>
        </is>
      </c>
      <c r="F163" s="8" t="inlineStr">
        <is>
          <t xml:space="preserve">Cpar, pF - 100 layout + 2 x 150 drain-source; the leg capacitors do not count</t>
        </is>
      </c>
    </row>
    <row r="165">
      <c r="F165" s="8" t="inlineStr">
        <is>
          <t xml:space="preserve">peak tank current vs load (Res. Tank Design 70-79, CC 59-74) - ADDED (user, 2026-10-18/19): below resonance the magnetizing current peaks at the end of the half cycle and the load current in the middle, so at light load the peak IS the magnetizing current and only above ld.add does the load raise it ([79], as Device Setting D32 at 100 %). Res. Tank Design 73-79 hold the results; CC 59-74 re-solve the frequency at 0/25/50/75/100 % load (closed-form cubic of the SMath sheet, section 8) and compute I.trafo, I.lm and the composite peak. Live formulas on the book inputs; no existing cell changes.</t>
        </is>
      </c>
    </row>
    <row r="166">
      <c r="B166" s="8" t="inlineStr">
        <is>
          <t xml:space="preserve">Res. Tank Design</t>
        </is>
      </c>
      <c r="C166" s="8" t="inlineStr">
        <is>
          <t xml:space="preserve">D73:D79</t>
        </is>
      </c>
      <c r="F166" s="8" t="inlineStr">
        <is>
          <t xml:space="preserve">I.Lm.pk, I.Lm.zc, ld.add, Ilr.pk at 25/50/75/100 %</t>
        </is>
      </c>
    </row>
    <row r="167">
      <c r="B167" s="8" t="inlineStr">
        <is>
          <t xml:space="preserve">CC</t>
        </is>
      </c>
      <c r="C167" s="8" t="inlineStr">
        <is>
          <t xml:space="preserve">B59:G74</t>
        </is>
      </c>
      <c r="F167" s="8" t="inlineStr">
        <is>
          <t xml:space="preserve">working: cubic, fsw, Itrafo.pk, Ilm.pk, r.mix, composite peak</t>
        </is>
      </c>
    </row>
    <row r="169">
      <c r="F169" s="8" t="inlineStr">
        <is>
          <t xml:space="preserve">gate driver selection in the switch section, start-up in Res. Tank Design - ADDED (user, 2026-10-22). Power Components rows inserted (xl_rows.py, every reference followed): 76-83 the switch gate data (STO60N045DM9: C.g 7.5 nF Qg slope, C.gs 4.76 nF, R.g 4.5, V.pl 6.3, V.th 4.0 / 3.5, Q.gd 13 nC, V.gs 20 V); 89-178 LLC Half Bridge Gate Driver Selection - part number, driver datasheet values (L6498LD: 1.4 / 1.55 A at 15 V, 10-20 V, 85 ns, MT 30 ns, no internal dead time, 800 kHz, 0.6 mA, 120 K/W, 125 C, V.BO 9.3 V), gate network (Value = recommendation, Selected Value = LGE bench board: VCC_GD 18 V, R115 47 ohm, R114 10 ohm + 1N4148WS, C63/C72 100 nF, MURS160 (V.F 1.0 V), boot resistor R113/R155 10 -&gt; 3.3 ohm (user, 2026-10-21), G = OK / CHECK and the allowed range), results with G = OK / CHECK and the limit, schematic at column G. Old rows 76-80 are now 84-88 and old 81-119 (the secondary section) 179-217; CHANGELOG entries above this line name the old rows. Res. Tank Design 81-87: start-up I.su, k.su.OCP2, k.su.OCP1, f.su.OCP1. CC 77-165: the working (gate_budget.py model).</t>
        </is>
      </c>
    </row>
    <row r="170">
      <c r="B170" s="8" t="inlineStr">
        <is>
          <t xml:space="preserve">Power Components</t>
        </is>
      </c>
      <c r="C170" s="8" t="inlineStr">
        <is>
          <t xml:space="preserve">B76:E83</t>
        </is>
      </c>
      <c r="F170" s="8" t="inlineStr">
        <is>
          <t xml:space="preserve">switch gate data (yellow)</t>
        </is>
      </c>
    </row>
    <row r="171">
      <c r="B171" s="8" t="inlineStr">
        <is>
          <t xml:space="preserve">Power Components</t>
        </is>
      </c>
      <c r="C171" s="8" t="inlineStr">
        <is>
          <t xml:space="preserve">B89:G178</t>
        </is>
      </c>
      <c r="F171" s="8" t="inlineStr">
        <is>
          <t xml:space="preserve">gate driver selection</t>
        </is>
      </c>
    </row>
    <row r="172">
      <c r="B172" s="8" t="inlineStr">
        <is>
          <t xml:space="preserve">Res. Tank Design</t>
        </is>
      </c>
      <c r="C172" s="8" t="inlineStr">
        <is>
          <t xml:space="preserve">B81:F87</t>
        </is>
      </c>
      <c r="F172" s="8" t="inlineStr">
        <is>
          <t xml:space="preserve">start-up: I.su, k.su.OCP2, k.su.OCP1, f.su.OCP1</t>
        </is>
      </c>
    </row>
    <row r="173">
      <c r="B173" s="8" t="inlineStr">
        <is>
          <t xml:space="preserve">CC</t>
        </is>
      </c>
      <c r="C173" s="8" t="inlineStr">
        <is>
          <t xml:space="preserve">B77:D165</t>
        </is>
      </c>
      <c r="F173" s="8" t="inlineStr">
        <is>
          <t xml:space="preserve">gate drive working</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5" ht="16.5" customHeight="1">
      <c r="B27" s="1" t="s">
        <v>159</v>
      </c>
      <c r="C27" s="1" t="s">
        <v>160</v>
      </c>
      <c r="D27" s="2">
        <v>200</v>
      </c>
      <c r="E27" s="1" t="s">
        <v>161</v>
      </c>
    </row>
    <row r="28" spans="2:10" ht="16.5" customHeight="1">
      <c r="B28" s="1" t="s">
        <v>162</v>
      </c>
      <c r="C28" s="1" t="s">
        <v>163</v>
      </c>
      <c r="D28" s="2">
        <v>98</v>
      </c>
      <c r="E28" s="1" t="s">
        <v>155</v>
      </c>
    </row>
    <row r="29" spans="2:5" ht="16.5" customHeight="1">
      <c r="B29" s="1" t="s">
        <v>164</v>
      </c>
      <c r="C29" s="1" t="s">
        <v>165</v>
      </c>
      <c r="D29" s="2">
        <v>37</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3329</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87"/>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6.773</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117</v>
      </c>
    </row>
    <row r="44" spans="2:6" ht="14.25" customHeight="1">
      <c r="B44" s="1" t="s">
        <v>318</v>
      </c>
      <c r="C44" s="1" t="s">
        <v>319</v>
      </c>
      <c r="D44" s="3">
        <f>1/(IF(F43,F43,D43)*(10^-12)*(2*PI()*'Design Spec'!D102*1000)^2)*1000</f>
        <v>11.257909293593086</v>
      </c>
      <c r="E44" s="1" t="s">
        <v>320</v>
      </c>
      <c r="F44" s="2">
        <v>5.7</v>
      </c>
    </row>
    <row r="45" spans="2:6" ht="14.25" customHeight="1">
      <c r="B45" s="1" t="s">
        <v>321</v>
      </c>
      <c r="C45" s="1" t="s">
        <v>322</v>
      </c>
      <c r="D45" s="3">
        <f>IF(F44,F44,D44)/D16</f>
        <v>8.8661373823173655</v>
      </c>
      <c r="E45" s="1" t="s">
        <v>320</v>
      </c>
      <c r="F45" s="2">
        <v>25.2</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row r="69" spans="2:5" ht="14.25" customHeight="1"/>
    <row r="70" spans="2:2" ht="18" customHeight="1">
      <c r="B70" s="19" t="inlineStr">
        <is>
          <t xml:space="preserve">Peak tank current vs load (magnetizing + load)</t>
        </is>
      </c>
    </row>
    <row r="71" spans="2:5" ht="3" customHeight="1"/>
    <row r="72" spans="2:5" ht="15.75" customHeight="1">
      <c r="B72" s="20" t="inlineStr">
        <is>
          <t xml:space="preserve">Parameters</t>
        </is>
      </c>
      <c r="C72" s="20" t="inlineStr">
        <is>
          <t xml:space="preserve">Name</t>
        </is>
      </c>
      <c r="D72" s="20" t="inlineStr">
        <is>
          <t xml:space="preserve">Value</t>
        </is>
      </c>
      <c r="E72" s="20" t="inlineStr">
        <is>
          <t xml:space="preserve">Unit</t>
        </is>
      </c>
    </row>
    <row r="73" spans="2:5" ht="15" customHeight="1">
      <c r="B73" s="1" t="inlineStr">
        <is>
          <t xml:space="preserve">Magnetizing current peak (any load)</t>
        </is>
      </c>
      <c r="C73" s="1" t="inlineStr">
        <is>
          <t xml:space="preserve">I.Lm.pk</t>
        </is>
      </c>
      <c r="D73" s="49">
        <f>CC!C70</f>
      </c>
      <c r="E73" s="62" t="inlineStr">
        <is>
          <t xml:space="preserve">A</t>
        </is>
      </c>
    </row>
    <row r="74" spans="2:5" ht="15" customHeight="1">
      <c r="B74" s="1" t="inlineStr">
        <is>
          <t xml:space="preserve">Magnetizing current peak @ line zero crossing (f.Min)</t>
        </is>
      </c>
      <c r="C74" s="1" t="inlineStr">
        <is>
          <t xml:space="preserve">I.Lm.zc</t>
        </is>
      </c>
      <c r="D74" s="49">
        <f>CC!C74</f>
      </c>
      <c r="E74" s="62" t="inlineStr">
        <is>
          <t xml:space="preserve">A</t>
        </is>
      </c>
    </row>
    <row r="75" spans="2:5" ht="15" customHeight="1">
      <c r="B75" s="1" t="inlineStr">
        <is>
          <t xml:space="preserve">Load above which the load current adds to the peak (approx.)</t>
        </is>
      </c>
      <c r="C75" s="1" t="inlineStr">
        <is>
          <t xml:space="preserve">ld.add</t>
        </is>
      </c>
      <c r="D75" s="49">
        <f>MIN(100,100*2*CC!E70/PI()/(CC!E69/CC!E60))</f>
      </c>
      <c r="E75" s="62" t="inlineStr">
        <is>
          <t xml:space="preserve">%</t>
        </is>
      </c>
    </row>
    <row r="76" spans="2:5" ht="15" customHeight="1">
      <c r="B76" s="1" t="inlineStr">
        <is>
          <t xml:space="preserve">Peak tank current @ 25 % load</t>
        </is>
      </c>
      <c r="C76" s="1" t="inlineStr">
        <is>
          <t xml:space="preserve">Ilr.pk.25</t>
        </is>
      </c>
      <c r="D76" s="49">
        <f>CC!D72</f>
      </c>
      <c r="E76" s="62" t="inlineStr">
        <is>
          <t xml:space="preserve">A</t>
        </is>
      </c>
    </row>
    <row r="77" spans="2:5" ht="15" customHeight="1">
      <c r="B77" s="1" t="inlineStr">
        <is>
          <t xml:space="preserve">Peak tank current @ 50 % load</t>
        </is>
      </c>
      <c r="C77" s="1" t="inlineStr">
        <is>
          <t xml:space="preserve">Ilr.pk.50</t>
        </is>
      </c>
      <c r="D77" s="49">
        <f>CC!E72</f>
      </c>
      <c r="E77" s="62" t="inlineStr">
        <is>
          <t xml:space="preserve">A</t>
        </is>
      </c>
    </row>
    <row r="78" spans="2:5" ht="15" customHeight="1">
      <c r="B78" s="1" t="inlineStr">
        <is>
          <t xml:space="preserve">Peak tank current @ 75 % load</t>
        </is>
      </c>
      <c r="C78" s="1" t="inlineStr">
        <is>
          <t xml:space="preserve">Ilr.pk.75</t>
        </is>
      </c>
      <c r="D78" s="49">
        <f>CC!F72</f>
      </c>
      <c r="E78" s="62" t="inlineStr">
        <is>
          <t xml:space="preserve">A</t>
        </is>
      </c>
    </row>
    <row r="79" spans="2:5" ht="15" customHeight="1">
      <c r="B79" s="1" t="inlineStr">
        <is>
          <t xml:space="preserve">Peak tank current @ 100 % load</t>
        </is>
      </c>
      <c r="C79" s="1" t="inlineStr">
        <is>
          <t xml:space="preserve">Ilr.pk.100</t>
        </is>
      </c>
      <c r="D79" s="49">
        <f>CC!G72</f>
      </c>
      <c r="E79" s="62" t="inlineStr">
        <is>
          <t xml:space="preserve">A</t>
        </is>
      </c>
    </row>
    <row r="80" ht="14.25" customHeight="1"/>
    <row r="81" ht="18" customHeight="1">
      <c r="B81" s="19" t="inlineStr">
        <is>
          <t xml:space="preserve">Start-up with the output near 0 V</t>
        </is>
      </c>
    </row>
    <row r="82" ht="3" customHeight="1"/>
    <row r="83" ht="15.75" customHeight="1">
      <c r="B83" s="20" t="inlineStr">
        <is>
          <t xml:space="preserve">Parameters</t>
        </is>
      </c>
      <c r="C83" s="20" t="inlineStr">
        <is>
          <t xml:space="preserve">Name</t>
        </is>
      </c>
      <c r="D83" s="20" t="inlineStr">
        <is>
          <t xml:space="preserve">Value</t>
        </is>
      </c>
      <c r="E83" s="20" t="inlineStr">
        <is>
          <t xml:space="preserve">Unit</t>
        </is>
      </c>
      <c r="F83" s="20" t="inlineStr">
        <is>
          <t xml:space="preserve">Check</t>
        </is>
      </c>
    </row>
    <row r="84" ht="15" customHeight="1">
      <c r="B84" s="1" t="inlineStr">
        <is>
          <t xml:space="preserve">Tank peak at f.SU, V.out ~0 (FB, 235 V bus)</t>
        </is>
      </c>
      <c r="C84" s="1" t="inlineStr">
        <is>
          <t xml:space="preserve">I.su</t>
        </is>
      </c>
      <c r="D84" s="49">
        <f>MAX(CC!$C$80,SQRT(2)*'Design Spec'!$D$14/2)/D52*TAN(PI()*D55/(2*'Device Setting'!$D$29))</f>
      </c>
      <c r="E84" s="62" t="inlineStr">
        <is>
          <t xml:space="preserve">A</t>
        </is>
      </c>
    </row>
    <row r="85" ht="15" customHeight="1">
      <c r="B85" s="1" t="inlineStr">
        <is>
          <t xml:space="preserve">OCP2 margin (&gt; 1, else start-up restarts)</t>
        </is>
      </c>
      <c r="C85" s="1" t="inlineStr">
        <is>
          <t xml:space="preserve">k.su.OCP2</t>
        </is>
      </c>
      <c r="D85" s="49">
        <f>'Device Setting'!$G$49/D84</f>
      </c>
      <c r="E85" s="62" t="inlineStr">
        <is>
          <t xml:space="preserve">-</t>
        </is>
      </c>
      <c r="F85" s="1">
        <f>IF(D85&gt;=1,"OK","CHECK")</f>
      </c>
    </row>
    <row r="86" ht="15" customHeight="1">
      <c r="B86" s="1" t="inlineStr">
        <is>
          <t xml:space="preserve">OCP1 margin (&gt; 1, else OCP1 acts at once)</t>
        </is>
      </c>
      <c r="C86" s="1" t="inlineStr">
        <is>
          <t xml:space="preserve">k.su.OCP1</t>
        </is>
      </c>
      <c r="D86" s="49">
        <f>'Device Setting'!$D$49/D84</f>
      </c>
      <c r="E86" s="62" t="inlineStr">
        <is>
          <t xml:space="preserve">-</t>
        </is>
      </c>
      <c r="F86" s="1">
        <f>IF(D86&gt;=1,"OK","CHECK")</f>
      </c>
    </row>
    <row r="87" ht="15" customHeight="1">
      <c r="B87" s="1" t="inlineStr">
        <is>
          <t xml:space="preserve">Start-up floor: lowest f before OCP1 while V.out ~0</t>
        </is>
      </c>
      <c r="C87" s="1" t="inlineStr">
        <is>
          <t xml:space="preserve">f.su.OCP1</t>
        </is>
      </c>
      <c r="D87" s="49">
        <f>PI()*D55/(2*ATAN('Device Setting'!$D$49*D52/MAX(CC!$C$80,SQRT(2)*'Design Spec'!$D$14/2)))</f>
      </c>
      <c r="E87" s="62" t="inlineStr">
        <is>
          <t xml:space="preserve">kHz</t>
        </is>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217"/>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660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5</v>
      </c>
      <c r="E23" s="1" t="s">
        <v>181</v>
      </c>
    </row>
    <row r="24" spans="2:5" ht="14.25" customHeight="1">
      <c r="B24" s="1" t="s">
        <v>369</v>
      </c>
      <c r="C24" s="1" t="s">
        <v>370</v>
      </c>
      <c r="D24" s="2">
        <v>6800</v>
      </c>
      <c r="E24" s="1" t="s">
        <v>172</v>
      </c>
    </row>
    <row r="25" spans="2:5" ht="14.25" customHeight="1">
      <c r="B25" s="1" t="s">
        <v>371</v>
      </c>
      <c r="C25" s="1" t="s">
        <v>174</v>
      </c>
      <c r="D25" s="2">
        <v>50.7</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5" ht="14.25" customHeight="1">
      <c r="B38" s="1" t="s">
        <v>393</v>
      </c>
      <c r="C38" s="1" t="s">
        <v>394</v>
      </c>
      <c r="D38" s="2">
        <v>50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inlineStr">
        <is>
          <t xml:space="preserve">GBU1006 x2 (AC pins paired)</t>
        </is>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1.9</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400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c r="B76" s="1" t="inlineStr">
        <is>
          <t xml:space="preserve">Gate capacitance above the plateau, Qg slope (per device)</t>
        </is>
      </c>
      <c r="C76" s="1" t="inlineStr">
        <is>
          <t xml:space="preserve">C.g</t>
        </is>
      </c>
      <c r="D76" s="2">
        <v>7.5</v>
      </c>
      <c r="E76" s="26" t="inlineStr">
        <is>
          <t xml:space="preserve">nF</t>
        </is>
      </c>
    </row>
    <row r="77">
      <c r="B77" s="1" t="inlineStr">
        <is>
          <t xml:space="preserve">Gate-source capacitance C.iss - C.rss (per device)</t>
        </is>
      </c>
      <c r="C77" s="1" t="inlineStr">
        <is>
          <t xml:space="preserve">C.gs.dev</t>
        </is>
      </c>
      <c r="D77" s="2">
        <v>4.76</v>
      </c>
      <c r="E77" s="26" t="inlineStr">
        <is>
          <t xml:space="preserve">nF</t>
        </is>
      </c>
    </row>
    <row r="78">
      <c r="B78" s="1" t="inlineStr">
        <is>
          <t xml:space="preserve">Internal gate resistance (per device)</t>
        </is>
      </c>
      <c r="C78" s="1" t="inlineStr">
        <is>
          <t xml:space="preserve">R.g</t>
        </is>
      </c>
      <c r="D78" s="2">
        <v>4.5</v>
      </c>
      <c r="E78" s="26" t="inlineStr">
        <is>
          <t xml:space="preserve">Ω</t>
        </is>
      </c>
    </row>
    <row r="79">
      <c r="B79" s="1" t="inlineStr">
        <is>
          <t xml:space="preserve">Miller plateau voltage</t>
        </is>
      </c>
      <c r="C79" s="1" t="inlineStr">
        <is>
          <t xml:space="preserve">V.pl</t>
        </is>
      </c>
      <c r="D79" s="2">
        <v>6.3</v>
      </c>
      <c r="E79" s="26" t="inlineStr">
        <is>
          <t xml:space="preserve">V</t>
        </is>
      </c>
    </row>
    <row r="80">
      <c r="B80" s="1" t="inlineStr">
        <is>
          <t xml:space="preserve">Gate threshold, typ (for timing)</t>
        </is>
      </c>
      <c r="C80" s="1" t="inlineStr">
        <is>
          <t xml:space="preserve">V.th</t>
        </is>
      </c>
      <c r="D80" s="2">
        <v>4.0</v>
      </c>
      <c r="E80" s="26" t="inlineStr">
        <is>
          <t xml:space="preserve">V</t>
        </is>
      </c>
    </row>
    <row r="81">
      <c r="B81" s="1" t="inlineStr">
        <is>
          <t xml:space="preserve">Gate threshold, min</t>
        </is>
      </c>
      <c r="C81" s="1" t="inlineStr">
        <is>
          <t xml:space="preserve">V.th.min</t>
        </is>
      </c>
      <c r="D81" s="2">
        <v>3.5</v>
      </c>
      <c r="E81" s="26" t="inlineStr">
        <is>
          <t xml:space="preserve">V</t>
        </is>
      </c>
    </row>
    <row r="82">
      <c r="B82" s="1" t="inlineStr">
        <is>
          <t xml:space="preserve">Miller charge over the bus swing (per device)</t>
        </is>
      </c>
      <c r="C82" s="1" t="inlineStr">
        <is>
          <t xml:space="preserve">Q.gd</t>
        </is>
      </c>
      <c r="D82" s="2">
        <v>13</v>
      </c>
      <c r="E82" s="26" t="inlineStr">
        <is>
          <t xml:space="preserve">nC</t>
        </is>
      </c>
    </row>
    <row r="83">
      <c r="B83" s="1" t="inlineStr">
        <is>
          <t xml:space="preserve">Gate-source voltage rating</t>
        </is>
      </c>
      <c r="C83" s="1" t="inlineStr">
        <is>
          <t xml:space="preserve">V.gs.max</t>
        </is>
      </c>
      <c r="D83" s="2">
        <v>20</v>
      </c>
      <c r="E83" s="26" t="inlineStr">
        <is>
          <t xml:space="preserve">V</t>
        </is>
      </c>
    </row>
    <row r="84" spans="2:14" ht="15.75" customHeight="1">
      <c r="B84" s="20" t="s">
        <v>356</v>
      </c>
      <c r="C84" s="20" t="s">
        <v>132</v>
      </c>
      <c r="D84" s="20" t="s">
        <v>133</v>
      </c>
      <c r="E84" s="20" t="s">
        <v>134</v>
      </c>
      <c r="F84" s="76"/>
      <c r="G84" s="76"/>
      <c r="H84" s="76"/>
      <c r="I84" s="76"/>
      <c r="J84" s="76"/>
      <c r="K84" s="76"/>
      <c r="L84" s="76"/>
      <c r="M84" s="76"/>
      <c r="N84" s="76"/>
    </row>
    <row r="85" spans="2:14" ht="14.25" customHeight="1">
      <c r="B85" s="1" t="s">
        <v>426</v>
      </c>
      <c r="C85" s="1" t="s">
        <v>427</v>
      </c>
      <c r="D85" s="1">
        <f>(2*D71)+D72</f>
        <v>1804</v>
      </c>
      <c r="E85" s="1" t="s">
        <v>194</v>
      </c>
      <c r="F85" s="76"/>
      <c r="G85" s="76"/>
      <c r="H85" s="76"/>
      <c r="I85" s="76"/>
      <c r="J85" s="76"/>
      <c r="K85" s="76"/>
      <c r="L85" s="76"/>
      <c r="M85" s="76"/>
      <c r="N85" s="76"/>
    </row>
    <row r="86" spans="2:14" ht="15" customHeight="1">
      <c r="B86" s="1" t="s">
        <v>1193</v>
      </c>
      <c r="C86" s="1" t="s">
        <v>428</v>
      </c>
      <c r="D86" s="200">
        <f>D70*D58*D62^2</f>
        <v>4.8234434836050069</v>
      </c>
      <c r="E86" s="1" t="s">
        <v>161</v>
      </c>
      <c r="F86" s="76"/>
      <c r="G86" s="76"/>
      <c r="H86" s="76"/>
      <c r="I86" s="76"/>
      <c r="J86" s="76"/>
      <c r="K86" s="76"/>
      <c r="L86" s="76"/>
      <c r="M86" s="76"/>
      <c r="N86" s="76"/>
    </row>
    <row r="87" spans="2:14" ht="15" customHeight="1">
      <c r="B87" s="1" t="s">
        <v>1194</v>
      </c>
      <c r="C87" s="1" t="s">
        <v>1195</v>
      </c>
      <c r="D87" s="200">
        <f>D70*D58*(D60/D68)^2</f>
        <v>9.6468869672100155</v>
      </c>
      <c r="E87" s="1" t="s">
        <v>161</v>
      </c>
      <c r="F87" s="76"/>
      <c r="G87" s="76"/>
      <c r="H87" s="76"/>
      <c r="I87" s="76"/>
      <c r="J87" s="76"/>
      <c r="K87" s="76"/>
      <c r="L87" s="76"/>
      <c r="M87" s="76"/>
      <c r="N87" s="76"/>
    </row>
    <row r="88" spans="2:14" ht="14.25" customHeight="1">
      <c r="B88" s="1" t="s">
        <v>1211</v>
      </c>
      <c r="C88" s="1" t="s">
        <v>429</v>
      </c>
      <c r="D88" s="200">
        <f>(125-D73)/MAX(D86,D87)</f>
        <v>10.366038323026094</v>
      </c>
      <c r="E88" s="1" t="s">
        <v>430</v>
      </c>
      <c r="F88" s="76"/>
      <c r="G88" s="76"/>
      <c r="H88" s="76"/>
      <c r="I88" s="76"/>
      <c r="J88" s="76"/>
      <c r="K88" s="76"/>
      <c r="L88" s="76"/>
      <c r="M88" s="76"/>
      <c r="N88" s="76"/>
    </row>
    <row r="89">
      <c r="B89" s="19" t="inlineStr">
        <is>
          <t xml:space="preserve">LLC Half Bridge Gate Driver Selection</t>
        </is>
      </c>
    </row>
    <row r="90">
      <c r="B90" s="20" t="inlineStr">
        <is>
          <t xml:space="preserve">Please Select a dedicated Gate Driver part number </t>
        </is>
      </c>
      <c r="C90" s="202" t="inlineStr">
        <is>
          <t xml:space="preserve">L6498LD</t>
        </is>
      </c>
      <c r="D90" s="202"/>
      <c r="E90" s="202"/>
    </row>
    <row r="91">
      <c r="B91" s="20" t="inlineStr">
        <is>
          <t xml:space="preserve">Parameter</t>
        </is>
      </c>
      <c r="C91" s="20" t="inlineStr">
        <is>
          <t xml:space="preserve">Name</t>
        </is>
      </c>
      <c r="D91" s="20" t="inlineStr">
        <is>
          <t xml:space="preserve">Value</t>
        </is>
      </c>
      <c r="E91" s="20" t="inlineStr">
        <is>
          <t xml:space="preserve">Unit</t>
        </is>
      </c>
    </row>
    <row r="92">
      <c r="B92" s="1" t="inlineStr">
        <is>
          <t xml:space="preserve">Source current, min (full temperature)</t>
        </is>
      </c>
      <c r="C92" s="1" t="inlineStr">
        <is>
          <t xml:space="preserve">I.so</t>
        </is>
      </c>
      <c r="D92" s="2">
        <v>1.4</v>
      </c>
      <c r="E92" s="26" t="inlineStr">
        <is>
          <t xml:space="preserve">A</t>
        </is>
      </c>
    </row>
    <row r="93">
      <c r="B93" s="1" t="inlineStr">
        <is>
          <t xml:space="preserve">Sink current, min (full temperature)</t>
        </is>
      </c>
      <c r="C93" s="1" t="inlineStr">
        <is>
          <t xml:space="preserve">I.si</t>
        </is>
      </c>
      <c r="D93" s="2">
        <v>1.55</v>
      </c>
      <c r="E93" s="26" t="inlineStr">
        <is>
          <t xml:space="preserve">A</t>
        </is>
      </c>
    </row>
    <row r="94">
      <c r="B94" s="1" t="inlineStr">
        <is>
          <t xml:space="preserve">Supply voltage those currents are given at</t>
        </is>
      </c>
      <c r="C94" s="1" t="inlineStr">
        <is>
          <t xml:space="preserve">V.test</t>
        </is>
      </c>
      <c r="D94" s="2">
        <v>15</v>
      </c>
      <c r="E94" s="26" t="inlineStr">
        <is>
          <t xml:space="preserve">V</t>
        </is>
      </c>
    </row>
    <row r="95">
      <c r="B95" s="1" t="inlineStr">
        <is>
          <t xml:space="preserve">Supply voltage, recommended min</t>
        </is>
      </c>
      <c r="C95" s="1" t="inlineStr">
        <is>
          <t xml:space="preserve">V.cc.min</t>
        </is>
      </c>
      <c r="D95" s="2">
        <v>10</v>
      </c>
      <c r="E95" s="26" t="inlineStr">
        <is>
          <t xml:space="preserve">V</t>
        </is>
      </c>
    </row>
    <row r="96">
      <c r="B96" s="1" t="inlineStr">
        <is>
          <t xml:space="preserve">Supply voltage, recommended max</t>
        </is>
      </c>
      <c r="C96" s="1" t="inlineStr">
        <is>
          <t xml:space="preserve">V.cc.max</t>
        </is>
      </c>
      <c r="D96" s="2">
        <v>20</v>
      </c>
      <c r="E96" s="26" t="inlineStr">
        <is>
          <t xml:space="preserve">V</t>
        </is>
      </c>
    </row>
    <row r="97">
      <c r="B97" s="1" t="inlineStr">
        <is>
          <t xml:space="preserve">Propagation delay, typ</t>
        </is>
      </c>
      <c r="C97" s="1" t="inlineStr">
        <is>
          <t xml:space="preserve">t.pd</t>
        </is>
      </c>
      <c r="D97" s="2">
        <v>85</v>
      </c>
      <c r="E97" s="26" t="inlineStr">
        <is>
          <t xml:space="preserve">ns</t>
        </is>
      </c>
    </row>
    <row r="98">
      <c r="B98" s="1" t="inlineStr">
        <is>
          <t xml:space="preserve">Delay matching, max</t>
        </is>
      </c>
      <c r="C98" s="1" t="inlineStr">
        <is>
          <t xml:space="preserve">MT</t>
        </is>
      </c>
      <c r="D98" s="2">
        <v>30</v>
      </c>
      <c r="E98" s="26" t="inlineStr">
        <is>
          <t xml:space="preserve">ns</t>
        </is>
      </c>
    </row>
    <row r="99">
      <c r="B99" s="1" t="inlineStr">
        <is>
          <t xml:space="preserve">Internal dead time (0 = none, interlocking only)</t>
        </is>
      </c>
      <c r="C99" s="1" t="inlineStr">
        <is>
          <t xml:space="preserve">t.DT</t>
        </is>
      </c>
      <c r="D99" s="2">
        <v>0</v>
      </c>
      <c r="E99" s="26" t="inlineStr">
        <is>
          <t xml:space="preserve">ns</t>
        </is>
      </c>
    </row>
    <row r="100">
      <c r="B100" s="1" t="inlineStr">
        <is>
          <t xml:space="preserve">Maximum switching frequency</t>
        </is>
      </c>
      <c r="C100" s="1" t="inlineStr">
        <is>
          <t xml:space="preserve">f.max</t>
        </is>
      </c>
      <c r="D100" s="2">
        <v>800</v>
      </c>
      <c r="E100" s="26" t="inlineStr">
        <is>
          <t xml:space="preserve">kHz</t>
        </is>
      </c>
    </row>
    <row r="101">
      <c r="B101" s="1" t="inlineStr">
        <is>
          <t xml:space="preserve">Quiescent current, VCC + floating, max</t>
        </is>
      </c>
      <c r="C101" s="1" t="inlineStr">
        <is>
          <t xml:space="preserve">I.Q</t>
        </is>
      </c>
      <c r="D101" s="2">
        <v>0.6</v>
      </c>
      <c r="E101" s="26" t="inlineStr">
        <is>
          <t xml:space="preserve">mA</t>
        </is>
      </c>
    </row>
    <row r="102">
      <c r="B102" s="1" t="inlineStr">
        <is>
          <t xml:space="preserve">Thermal resistance junction-ambient</t>
        </is>
      </c>
      <c r="C102" s="1" t="inlineStr">
        <is>
          <t xml:space="preserve">Rth.drv</t>
        </is>
      </c>
      <c r="D102" s="2">
        <v>120</v>
      </c>
      <c r="E102" s="26" t="inlineStr">
        <is>
          <t xml:space="preserve">˚C/W</t>
        </is>
      </c>
    </row>
    <row r="103">
      <c r="B103" s="1" t="inlineStr">
        <is>
          <t xml:space="preserve">Junction temperature, recommended max</t>
        </is>
      </c>
      <c r="C103" s="1" t="inlineStr">
        <is>
          <t xml:space="preserve">Tj.max</t>
        </is>
      </c>
      <c r="D103" s="2">
        <v>125</v>
      </c>
      <c r="E103" s="26" t="inlineStr">
        <is>
          <t xml:space="preserve">˚C</t>
        </is>
      </c>
    </row>
    <row r="104">
      <c r="B104" s="1" t="inlineStr">
        <is>
          <t xml:space="preserve">Floating (bootstrap) supply, recommended min</t>
        </is>
      </c>
      <c r="C104" s="1" t="inlineStr">
        <is>
          <t xml:space="preserve">V.bo.min</t>
        </is>
      </c>
      <c r="D104" s="2">
        <v>9.3</v>
      </c>
      <c r="E104" s="26" t="inlineStr">
        <is>
          <t xml:space="preserve">V</t>
        </is>
      </c>
    </row>
    <row r="105">
      <c r="B105" s="1" t="inlineStr">
        <is>
          <t xml:space="preserve">Output (HS pin) slew rate immunity</t>
        </is>
      </c>
      <c r="C105" s="1" t="inlineStr">
        <is>
          <t xml:space="preserve">dV/dt.max</t>
        </is>
      </c>
      <c r="D105" s="2">
        <v>50</v>
      </c>
      <c r="E105" s="26" t="inlineStr">
        <is>
          <t xml:space="preserve">V/ns</t>
        </is>
      </c>
    </row>
    <row r="106">
      <c r="B106" s="1" t="inlineStr">
        <is>
          <t xml:space="preserve">HS pin DC voltage rating</t>
        </is>
      </c>
      <c r="C106" s="1" t="inlineStr">
        <is>
          <t xml:space="preserve">V.hs.max</t>
        </is>
      </c>
      <c r="D106" s="2">
        <v>480</v>
      </c>
      <c r="E106" s="26" t="inlineStr">
        <is>
          <t xml:space="preserve">V</t>
        </is>
      </c>
    </row>
    <row r="107">
      <c r="B107" s="1" t="inlineStr">
        <is>
          <t xml:space="preserve">Logic input high threshold, max</t>
        </is>
      </c>
      <c r="C107" s="1" t="inlineStr">
        <is>
          <t xml:space="preserve">V.IH.max</t>
        </is>
      </c>
      <c r="D107" s="2">
        <v>2.5</v>
      </c>
      <c r="E107" s="26" t="inlineStr">
        <is>
          <t xml:space="preserve">V</t>
        </is>
      </c>
    </row>
    <row r="108">
      <c r="B108" s="1" t="inlineStr">
        <is>
          <t xml:space="preserve">Operating ambient temperature of the driver</t>
        </is>
      </c>
      <c r="C108" s="1" t="inlineStr">
        <is>
          <t xml:space="preserve">Ta.drv</t>
        </is>
      </c>
      <c r="D108" s="2">
        <v>25</v>
      </c>
      <c r="E108" s="26" t="inlineStr">
        <is>
          <t xml:space="preserve">˚C</t>
        </is>
      </c>
    </row>
    <row r="109">
      <c r="B109" s="1" t="inlineStr">
        <is>
          <t xml:space="preserve">Gate loop inductance, layout + packages [assumed]</t>
        </is>
      </c>
      <c r="C109" s="1" t="inlineStr">
        <is>
          <t xml:space="preserve">L.loop</t>
        </is>
      </c>
      <c r="D109" s="2">
        <v>20</v>
      </c>
      <c r="E109" s="26" t="inlineStr">
        <is>
          <t xml:space="preserve">nH</t>
        </is>
      </c>
    </row>
    <row r="110">
      <c r="B110" s="20" t="inlineStr">
        <is>
          <t xml:space="preserve">Please Select the bootstrap diode part number </t>
        </is>
      </c>
      <c r="C110" s="202" t="inlineStr">
        <is>
          <t xml:space="preserve">MURS160</t>
        </is>
      </c>
      <c r="D110" s="202"/>
      <c r="E110" s="202"/>
    </row>
    <row r="111">
      <c r="B111" s="20" t="inlineStr">
        <is>
          <t xml:space="preserve">Parameter</t>
        </is>
      </c>
      <c r="C111" s="20" t="inlineStr">
        <is>
          <t xml:space="preserve">Name</t>
        </is>
      </c>
      <c r="D111" s="20" t="inlineStr">
        <is>
          <t xml:space="preserve">Value</t>
        </is>
      </c>
      <c r="E111" s="20" t="inlineStr">
        <is>
          <t xml:space="preserve">Unit</t>
        </is>
      </c>
    </row>
    <row r="112">
      <c r="B112" s="1" t="inlineStr">
        <is>
          <t xml:space="preserve">Forward voltage at the charging current</t>
        </is>
      </c>
      <c r="C112" s="1" t="inlineStr">
        <is>
          <t xml:space="preserve">V.F.boot</t>
        </is>
      </c>
      <c r="D112" s="2">
        <v>1.0</v>
      </c>
      <c r="E112" s="26" t="inlineStr">
        <is>
          <t xml:space="preserve">V</t>
        </is>
      </c>
    </row>
    <row r="113">
      <c r="B113" s="1" t="inlineStr">
        <is>
          <t xml:space="preserve">Repetitive reverse voltage</t>
        </is>
      </c>
      <c r="C113" s="1" t="inlineStr">
        <is>
          <t xml:space="preserve">V.RRM.boot</t>
        </is>
      </c>
      <c r="D113" s="2">
        <v>600</v>
      </c>
      <c r="E113" s="26" t="inlineStr">
        <is>
          <t xml:space="preserve">V</t>
        </is>
      </c>
    </row>
    <row r="114">
      <c r="B114" s="1" t="inlineStr">
        <is>
          <t xml:space="preserve">Average forward current</t>
        </is>
      </c>
      <c r="C114" s="1" t="inlineStr">
        <is>
          <t xml:space="preserve">I.F.boot</t>
        </is>
      </c>
      <c r="D114" s="2">
        <v>1.0</v>
      </c>
      <c r="E114" s="26" t="inlineStr">
        <is>
          <t xml:space="preserve">A</t>
        </is>
      </c>
    </row>
    <row r="115">
      <c r="B115" s="1" t="inlineStr">
        <is>
          <t xml:space="preserve">Non-repetitive surge current (8.3 ms)</t>
        </is>
      </c>
      <c r="C115" s="1" t="inlineStr">
        <is>
          <t xml:space="preserve">I.FSM.boot</t>
        </is>
      </c>
      <c r="D115" s="2">
        <v>35</v>
      </c>
      <c r="E115" s="26" t="inlineStr">
        <is>
          <t xml:space="preserve">A</t>
        </is>
      </c>
    </row>
    <row r="116">
      <c r="B116" s="20" t="inlineStr">
        <is>
          <t xml:space="preserve">Please Select the turn-off diode part number (none = separate GOFF pin) </t>
        </is>
      </c>
      <c r="C116" s="202" t="inlineStr">
        <is>
          <t xml:space="preserve">1N4148WS</t>
        </is>
      </c>
      <c r="D116" s="202"/>
      <c r="E116" s="202"/>
    </row>
    <row r="117">
      <c r="B117" s="20" t="inlineStr">
        <is>
          <t xml:space="preserve">Parameter</t>
        </is>
      </c>
      <c r="C117" s="20" t="inlineStr">
        <is>
          <t xml:space="preserve">Name</t>
        </is>
      </c>
      <c r="D117" s="20" t="inlineStr">
        <is>
          <t xml:space="preserve">Value</t>
        </is>
      </c>
      <c r="E117" s="20" t="inlineStr">
        <is>
          <t xml:space="preserve">Unit</t>
        </is>
      </c>
    </row>
    <row r="118">
      <c r="B118" s="1" t="inlineStr">
        <is>
          <t xml:space="preserve">Forward voltage (0 = no D.off, R.off alone on GOFF)</t>
        </is>
      </c>
      <c r="C118" s="1" t="inlineStr">
        <is>
          <t xml:space="preserve">V.F.off</t>
        </is>
      </c>
      <c r="D118" s="2">
        <v>0.7</v>
      </c>
      <c r="E118" s="26" t="inlineStr">
        <is>
          <t xml:space="preserve">V</t>
        </is>
      </c>
    </row>
    <row r="119">
      <c r="B119" s="1" t="inlineStr">
        <is>
          <t xml:space="preserve">Average forward current</t>
        </is>
      </c>
      <c r="C119" s="1" t="inlineStr">
        <is>
          <t xml:space="preserve">I.F.off</t>
        </is>
      </c>
      <c r="D119" s="2">
        <v>0.15</v>
      </c>
      <c r="E119" s="26" t="inlineStr">
        <is>
          <t xml:space="preserve">A</t>
        </is>
      </c>
    </row>
    <row r="120">
      <c r="B120" s="1" t="inlineStr">
        <is>
          <t xml:space="preserve">Non-repetitive surge current (1 us)</t>
        </is>
      </c>
      <c r="C120" s="1" t="inlineStr">
        <is>
          <t xml:space="preserve">I.FSM.off</t>
        </is>
      </c>
      <c r="D120" s="2">
        <v>2.0</v>
      </c>
      <c r="E120" s="26" t="inlineStr">
        <is>
          <t xml:space="preserve">A</t>
        </is>
      </c>
    </row>
    <row r="121">
      <c r="B121" s="20" t="inlineStr">
        <is>
          <t xml:space="preserve">Parameters</t>
        </is>
      </c>
      <c r="C121" s="20" t="inlineStr">
        <is>
          <t xml:space="preserve">Name</t>
        </is>
      </c>
      <c r="D121" s="20" t="inlineStr">
        <is>
          <t xml:space="preserve">Value</t>
        </is>
      </c>
      <c r="E121" s="20" t="inlineStr">
        <is>
          <t xml:space="preserve">Unit</t>
        </is>
      </c>
      <c r="F121" s="20" t="inlineStr">
        <is>
          <t xml:space="preserve">Selected Value</t>
        </is>
      </c>
    </row>
    <row r="122">
      <c r="B122" s="1" t="inlineStr">
        <is>
          <t xml:space="preserve">Maximum gate drive voltage (driver supply range)</t>
        </is>
      </c>
      <c r="C122" s="1" t="inlineStr">
        <is>
          <t xml:space="preserve">V.drv.max</t>
        </is>
      </c>
      <c r="D122" s="49">
        <f>CC!$C$85</f>
      </c>
      <c r="E122" s="26" t="inlineStr">
        <is>
          <t xml:space="preserve">V</t>
        </is>
      </c>
    </row>
    <row r="123">
      <c r="B123" s="1" t="inlineStr">
        <is>
          <t xml:space="preserve">Minimum gate drive voltage (10 V at the high-side gate)</t>
        </is>
      </c>
      <c r="C123" s="1" t="inlineStr">
        <is>
          <t xml:space="preserve">V.drv.min</t>
        </is>
      </c>
      <c r="D123" s="49">
        <f>CC!$C$84</f>
      </c>
      <c r="E123" s="26" t="inlineStr">
        <is>
          <t xml:space="preserve">V</t>
        </is>
      </c>
    </row>
    <row r="124">
      <c r="B124" s="1" t="inlineStr">
        <is>
          <t xml:space="preserve">Select V.drv between V.drv.min and V.drv.max</t>
        </is>
      </c>
      <c r="C124" s="1" t="inlineStr">
        <is>
          <t xml:space="preserve">V.drv</t>
        </is>
      </c>
      <c r="D124" s="49"/>
      <c r="E124" s="26" t="inlineStr">
        <is>
          <t xml:space="preserve">V</t>
        </is>
      </c>
      <c r="F124" s="2">
        <v>18.0</v>
      </c>
    </row>
    <row r="125">
      <c r="B125" s="1" t="inlineStr">
        <is>
          <t xml:space="preserve">Maximum turn-on resistor (gate at 10 V within the start-up pulse)</t>
        </is>
      </c>
      <c r="C125" s="1" t="inlineStr">
        <is>
          <t xml:space="preserve">R.on.max</t>
        </is>
      </c>
      <c r="D125" s="49">
        <f>CC!$C$109</f>
      </c>
      <c r="E125" s="26" t="inlineStr">
        <is>
          <t xml:space="preserve">Ω</t>
        </is>
      </c>
    </row>
    <row r="126">
      <c r="B126" s="1" t="inlineStr">
        <is>
          <t xml:space="preserve">Minimum turn-on resistor: driver temperature, source current, gate loop damping (0 = R.so alone covers them)</t>
        </is>
      </c>
      <c r="C126" s="1" t="inlineStr">
        <is>
          <t xml:space="preserve">R.on.min</t>
        </is>
      </c>
      <c r="D126" s="49">
        <f>CC!$C$108</f>
      </c>
      <c r="E126" s="26" t="inlineStr">
        <is>
          <t xml:space="preserve">Ω</t>
        </is>
      </c>
    </row>
    <row r="127">
      <c r="B127" s="1" t="inlineStr">
        <is>
          <t xml:space="preserve">Select R.on between R.on.min and R.on.max (Value: E12)</t>
        </is>
      </c>
      <c r="C127" s="1" t="inlineStr">
        <is>
          <t xml:space="preserve">R.on</t>
        </is>
      </c>
      <c r="D127" s="49">
        <f>CC!$C$111</f>
      </c>
      <c r="E127" s="26" t="inlineStr">
        <is>
          <t xml:space="preserve">Ω</t>
        </is>
      </c>
      <c r="F127" s="2">
        <v>47.0</v>
      </c>
    </row>
    <row r="128">
      <c r="B128" s="1" t="inlineStr">
        <is>
          <t xml:space="preserve">Maximum turn-off path resistance (off before the swing ends and the other side is on)</t>
        </is>
      </c>
      <c r="C128" s="1" t="inlineStr">
        <is>
          <t xml:space="preserve">R.off.eff.max</t>
        </is>
      </c>
      <c r="D128" s="49">
        <f>CC!$C$139</f>
      </c>
      <c r="E128" s="26" t="inlineStr">
        <is>
          <t xml:space="preserve">Ω</t>
        </is>
      </c>
    </row>
    <row r="129">
      <c r="B129" s="1" t="inlineStr">
        <is>
          <t xml:space="preserve">Minimum turn-off resistor: sink current, D.off surge, loop damping (0 = R.si alone covers them)</t>
        </is>
      </c>
      <c r="C129" s="1" t="inlineStr">
        <is>
          <t xml:space="preserve">R.off.min</t>
        </is>
      </c>
      <c r="D129" s="49">
        <f>CC!$C$148</f>
      </c>
      <c r="E129" s="26" t="inlineStr">
        <is>
          <t xml:space="preserve">Ω</t>
        </is>
      </c>
    </row>
    <row r="130">
      <c r="B130" s="1" t="inlineStr">
        <is>
          <t xml:space="preserve">Select R.off: with D.off || R.on, or alone on GOFF (Value: E12)</t>
        </is>
      </c>
      <c r="C130" s="1" t="inlineStr">
        <is>
          <t xml:space="preserve">R.off</t>
        </is>
      </c>
      <c r="D130" s="49">
        <f>CC!$C$141</f>
      </c>
      <c r="E130" s="26" t="inlineStr">
        <is>
          <t xml:space="preserve">Ω</t>
        </is>
      </c>
      <c r="F130" s="2">
        <v>10.0</v>
      </c>
    </row>
    <row r="131">
      <c r="B131" s="1" t="inlineStr">
        <is>
          <t xml:space="preserve">Maximum gate-source capacitor (gate still at 10 V within the start-up pulse with R.on)</t>
        </is>
      </c>
      <c r="C131" s="1" t="inlineStr">
        <is>
          <t xml:space="preserve">C.gs.max</t>
        </is>
      </c>
      <c r="D131" s="49">
        <f>CC!$C$110</f>
      </c>
      <c r="E131" s="26" t="inlineStr">
        <is>
          <t xml:space="preserve">nF</t>
        </is>
      </c>
    </row>
    <row r="132">
      <c r="B132" s="1" t="inlineStr">
        <is>
          <t xml:space="preserve">Minimum gate-source capacitor against the Miller kick (0 = the turn-off path alone holds)</t>
        </is>
      </c>
      <c r="C132" s="1" t="inlineStr">
        <is>
          <t xml:space="preserve">C.gs.min</t>
        </is>
      </c>
      <c r="D132" s="49">
        <f>CC!$C$118</f>
      </c>
      <c r="E132" s="26" t="inlineStr">
        <is>
          <t xml:space="preserve">nF</t>
        </is>
      </c>
    </row>
    <row r="133">
      <c r="B133" s="1" t="inlineStr">
        <is>
          <t xml:space="preserve">Select C.gs (Value: E6)</t>
        </is>
      </c>
      <c r="C133" s="1" t="inlineStr">
        <is>
          <t xml:space="preserve">C.gs</t>
        </is>
      </c>
      <c r="D133" s="49">
        <f>CC!$C$119</f>
      </c>
      <c r="E133" s="26" t="inlineStr">
        <is>
          <t xml:space="preserve">nF</t>
        </is>
      </c>
      <c r="F133" s="2">
        <v>0</v>
      </c>
    </row>
    <row r="134">
      <c r="B134" s="1" t="inlineStr">
        <is>
          <t xml:space="preserve">Maximum bootstrap capacitor (first LOUT pulse charges it to V.bo.min)</t>
        </is>
      </c>
      <c r="C134" s="1" t="inlineStr">
        <is>
          <t xml:space="preserve">C.boot.max</t>
        </is>
      </c>
      <c r="D134" s="49">
        <f>CC!$C$150</f>
      </c>
      <c r="E134" s="26" t="inlineStr">
        <is>
          <t xml:space="preserve">nF</t>
        </is>
      </c>
    </row>
    <row r="135">
      <c r="B135" s="1" t="inlineStr">
        <is>
          <t xml:space="preserve">Minimum bootstrap capacitor (10 x gate capacitance)</t>
        </is>
      </c>
      <c r="C135" s="1" t="inlineStr">
        <is>
          <t xml:space="preserve">C.boot.min</t>
        </is>
      </c>
      <c r="D135" s="49">
        <f>CC!$C$149</f>
      </c>
      <c r="E135" s="26" t="inlineStr">
        <is>
          <t xml:space="preserve">nF</t>
        </is>
      </c>
    </row>
    <row r="136">
      <c r="B136" s="1" t="inlineStr">
        <is>
          <t xml:space="preserve">Select C.boot between C.boot.min and C.boot.max (Value: E6)</t>
        </is>
      </c>
      <c r="C136" s="1" t="inlineStr">
        <is>
          <t xml:space="preserve">C.boot</t>
        </is>
      </c>
      <c r="D136" s="49">
        <f>CC!$C$151</f>
      </c>
      <c r="E136" s="26" t="inlineStr">
        <is>
          <t xml:space="preserve">nF</t>
        </is>
      </c>
      <c r="F136" s="2">
        <v>100</v>
      </c>
    </row>
    <row r="137">
      <c r="B137" s="1" t="inlineStr">
        <is>
          <t xml:space="preserve">Maximum bootstrap resistor (first LOUT pulse charges C.boot to V.bo.min)</t>
        </is>
      </c>
      <c r="C137" s="1" t="inlineStr">
        <is>
          <t xml:space="preserve">R.boot.max</t>
        </is>
      </c>
      <c r="D137" s="49">
        <f>CC!$C$153</f>
      </c>
      <c r="E137" s="26" t="inlineStr">
        <is>
          <t xml:space="preserve">Ω</t>
        </is>
      </c>
    </row>
    <row r="138">
      <c r="B138" s="1" t="inlineStr">
        <is>
          <t xml:space="preserve">Minimum bootstrap resistor (D.boot surge into an empty C.boot)</t>
        </is>
      </c>
      <c r="C138" s="1" t="inlineStr">
        <is>
          <t xml:space="preserve">R.boot.min</t>
        </is>
      </c>
      <c r="D138" s="49">
        <f>CC!$C$155</f>
      </c>
      <c r="E138" s="26" t="inlineStr">
        <is>
          <t xml:space="preserve">Ω</t>
        </is>
      </c>
    </row>
    <row r="139">
      <c r="B139" s="1" t="inlineStr">
        <is>
          <t xml:space="preserve">Select R.boot between R.boot.min and R.boot.max (Value: E12)</t>
        </is>
      </c>
      <c r="C139" s="1" t="inlineStr">
        <is>
          <t xml:space="preserve">R.boot</t>
        </is>
      </c>
      <c r="D139" s="49">
        <f>CC!$C$154</f>
      </c>
      <c r="E139" s="26" t="inlineStr">
        <is>
          <t xml:space="preserve">Ω</t>
        </is>
      </c>
      <c r="F139" s="2">
        <v>3.3</v>
      </c>
    </row>
    <row r="140">
      <c r="B140" s="20" t="inlineStr">
        <is>
          <t xml:space="preserve">Parameters</t>
        </is>
      </c>
      <c r="C140" s="20" t="inlineStr">
        <is>
          <t xml:space="preserve">Name</t>
        </is>
      </c>
      <c r="D140" s="20" t="inlineStr">
        <is>
          <t xml:space="preserve">Value</t>
        </is>
      </c>
      <c r="E140" s="20" t="inlineStr">
        <is>
          <t xml:space="preserve">Unit</t>
        </is>
      </c>
      <c r="F140" s="20" t="inlineStr">
        <is>
          <t xml:space="preserve">Check</t>
        </is>
      </c>
    </row>
    <row r="141">
      <c r="B141" s="1" t="inlineStr">
        <is>
          <t xml:space="preserve">Driver output resistance, source: V.test / I.so (in series with R.on)</t>
        </is>
      </c>
      <c r="C141" s="1" t="inlineStr">
        <is>
          <t xml:space="preserve">R.so</t>
        </is>
      </c>
      <c r="D141" s="49">
        <f>CC!$C$81</f>
      </c>
      <c r="E141" s="26" t="inlineStr">
        <is>
          <t xml:space="preserve">Ω</t>
        </is>
      </c>
    </row>
    <row r="142">
      <c r="B142" s="1" t="inlineStr">
        <is>
          <t xml:space="preserve">Driver output resistance, sink: V.test / I.si (in series with R.off)</t>
        </is>
      </c>
      <c r="C142" s="1" t="inlineStr">
        <is>
          <t xml:space="preserve">R.si</t>
        </is>
      </c>
      <c r="D142" s="49">
        <f>CC!$C$82</f>
      </c>
      <c r="E142" s="26" t="inlineStr">
        <is>
          <t xml:space="preserve">Ω</t>
        </is>
      </c>
    </row>
    <row r="143">
      <c r="B143" s="1" t="inlineStr">
        <is>
          <t xml:space="preserve">Peak gate current, turn-on</t>
        </is>
      </c>
      <c r="C143" s="1" t="inlineStr">
        <is>
          <t xml:space="preserve">I.G.on.pk</t>
        </is>
      </c>
      <c r="D143" s="49">
        <f>CC!$C$142</f>
      </c>
      <c r="E143" s="26" t="inlineStr">
        <is>
          <t xml:space="preserve">A</t>
        </is>
      </c>
    </row>
    <row r="144">
      <c r="B144" s="1" t="inlineStr">
        <is>
          <t xml:space="preserve">Peak gate current, turn-off</t>
        </is>
      </c>
      <c r="C144" s="1" t="inlineStr">
        <is>
          <t xml:space="preserve">I.G.off.pk</t>
        </is>
      </c>
      <c r="D144" s="49">
        <f>CC!$C$143</f>
      </c>
      <c r="E144" s="26" t="inlineStr">
        <is>
          <t xml:space="preserve">A</t>
        </is>
      </c>
    </row>
    <row r="145">
      <c r="B145" s="1" t="inlineStr">
        <is>
          <t xml:space="preserve">Driver current margin: I.so / I.G.on.pk and I.si / I.G.off.pk (&gt;1)</t>
        </is>
      </c>
      <c r="C145" s="1" t="inlineStr">
        <is>
          <t xml:space="preserve">k.IG</t>
        </is>
      </c>
      <c r="D145" s="49">
        <f>CC!$C$144</f>
      </c>
      <c r="E145" s="26" t="inlineStr">
        <is>
          <t xml:space="preserve">-</t>
        </is>
      </c>
      <c r="F145" s="1">
        <f>IF(D145&gt;=1,"OK","CHECK")</f>
      </c>
    </row>
    <row r="146">
      <c r="B146" s="1" t="inlineStr">
        <is>
          <t xml:space="preserve">Turn-off path resistance (&lt;= R.off.eff.max)</t>
        </is>
      </c>
      <c r="C146" s="1" t="inlineStr">
        <is>
          <t xml:space="preserve">R.off.eff</t>
        </is>
      </c>
      <c r="D146" s="49">
        <f>CC!$C$89</f>
      </c>
      <c r="E146" s="26" t="inlineStr">
        <is>
          <t xml:space="preserve">Ω</t>
        </is>
      </c>
      <c r="F146" s="1">
        <f>IF(D146&lt;=D128,"OK","CHECK")</f>
      </c>
    </row>
    <row r="147">
      <c r="B147" s="1" t="inlineStr">
        <is>
          <t xml:space="preserve">Dead time needed in run (IC ADT 40-420 ns, or the driver t.DT)</t>
        </is>
      </c>
      <c r="C147" s="1" t="inlineStr">
        <is>
          <t xml:space="preserve">t.D.need</t>
        </is>
      </c>
      <c r="D147" s="49">
        <f>CC!$C$124</f>
      </c>
      <c r="E147" s="26" t="inlineStr">
        <is>
          <t xml:space="preserve">ns</t>
        </is>
      </c>
    </row>
    <row r="148">
      <c r="B148" s="1" t="inlineStr">
        <is>
          <t xml:space="preserve">Dead time allowed in run (gate on before the current reverses)</t>
        </is>
      </c>
      <c r="C148" s="1" t="inlineStr">
        <is>
          <t xml:space="preserve">t.D.max</t>
        </is>
      </c>
      <c r="D148" s="49">
        <f>CC!$C$125</f>
      </c>
      <c r="E148" s="26" t="inlineStr">
        <is>
          <t xml:space="preserve">ns</t>
        </is>
      </c>
    </row>
    <row r="149">
      <c r="B149" s="1" t="inlineStr">
        <is>
          <t xml:space="preserve">Dead time margin in run (&gt;1)</t>
        </is>
      </c>
      <c r="C149" s="1" t="inlineStr">
        <is>
          <t xml:space="preserve">k.tD</t>
        </is>
      </c>
      <c r="D149" s="49">
        <f>CC!$C$126</f>
      </c>
      <c r="E149" s="26" t="inlineStr">
        <is>
          <t xml:space="preserve">-</t>
        </is>
      </c>
      <c r="F149" s="1">
        <f>IF(D149&gt;=1,"OK","CHECK")</f>
      </c>
    </row>
    <row r="150">
      <c r="B150" s="1" t="inlineStr">
        <is>
          <t xml:space="preserve">Start-up dead time needed (gate delays + swing at I.su, FB and HB)</t>
        </is>
      </c>
      <c r="C150" s="1" t="inlineStr">
        <is>
          <t xml:space="preserve">t.D.su.min</t>
        </is>
      </c>
      <c r="D150" s="49">
        <f>CC!$C$130</f>
      </c>
      <c r="E150" s="26" t="inlineStr">
        <is>
          <t xml:space="preserve">ns</t>
        </is>
      </c>
    </row>
    <row r="151">
      <c r="B151" s="1" t="inlineStr">
        <is>
          <t xml:space="preserve">Start-up dead time allowed (channel on before the current reverses, T/4 at f.SU)</t>
        </is>
      </c>
      <c r="C151" s="1" t="inlineStr">
        <is>
          <t xml:space="preserve">t.D.su.max</t>
        </is>
      </c>
      <c r="D151" s="49">
        <f>CC!$C$131</f>
      </c>
      <c r="E151" s="26" t="inlineStr">
        <is>
          <t xml:space="preserve">ns</t>
        </is>
      </c>
    </row>
    <row r="152">
      <c r="B152" s="1" t="inlineStr">
        <is>
          <t xml:space="preserve">Start-up dead time margin at the IC 420 ns (CC) or the driver t.DT (&gt;1)</t>
        </is>
      </c>
      <c r="C152" s="1" t="inlineStr">
        <is>
          <t xml:space="preserve">k.tD.su</t>
        </is>
      </c>
      <c r="D152" s="49">
        <f>CC!$C$133</f>
      </c>
      <c r="E152" s="26" t="inlineStr">
        <is>
          <t xml:space="preserve">-</t>
        </is>
      </c>
      <c r="F152" s="1">
        <f>IF(D152&gt;=1,"OK","CHECK")</f>
      </c>
    </row>
    <row r="153">
      <c r="B153" s="1" t="inlineStr">
        <is>
          <t xml:space="preserve">Gate voltage at the end of the start-up pulse (&gt;= 10 V)</t>
        </is>
      </c>
      <c r="C153" s="1" t="inlineStr">
        <is>
          <t xml:space="preserve">V.g.su</t>
        </is>
      </c>
      <c r="D153" s="49">
        <f>CC!$C$95</f>
      </c>
      <c r="E153" s="26" t="inlineStr">
        <is>
          <t xml:space="preserve">V</t>
        </is>
      </c>
      <c r="F153" s="1">
        <f>IF(D153&gt;=10,"OK","CHECK")</f>
      </c>
    </row>
    <row r="154">
      <c r="B154" s="1" t="inlineStr">
        <is>
          <t xml:space="preserve">V.BS after the first LOUT pulse (&gt;= V.bo.min)</t>
        </is>
      </c>
      <c r="C154" s="1" t="inlineStr">
        <is>
          <t xml:space="preserve">V.bs.1</t>
        </is>
      </c>
      <c r="D154" s="49">
        <f>CC!$C$160</f>
      </c>
      <c r="E154" s="26" t="inlineStr">
        <is>
          <t xml:space="preserve">V</t>
        </is>
      </c>
      <c r="F154" s="1">
        <f>IF(D154&gt;=D104,"OK","CHECK")</f>
      </c>
    </row>
    <row r="155">
      <c r="B155" s="1" t="inlineStr">
        <is>
          <t xml:space="preserve">V.BS lowest, steady at f.SU</t>
        </is>
      </c>
      <c r="C155" s="1" t="inlineStr">
        <is>
          <t xml:space="preserve">V.bs.min</t>
        </is>
      </c>
      <c r="D155" s="49">
        <f>CC!$C$162</f>
      </c>
      <c r="E155" s="26" t="inlineStr">
        <is>
          <t xml:space="preserve">V</t>
        </is>
      </c>
    </row>
    <row r="156">
      <c r="B156" s="1" t="inlineStr">
        <is>
          <t xml:space="preserve">Gate-off margin against the Miller kick (&gt;1)</t>
        </is>
      </c>
      <c r="C156" s="1" t="inlineStr">
        <is>
          <t xml:space="preserve">k.Miller</t>
        </is>
      </c>
      <c r="D156" s="49">
        <f>CC!$C$117</f>
      </c>
      <c r="E156" s="26" t="inlineStr">
        <is>
          <t xml:space="preserve">-</t>
        </is>
      </c>
      <c r="F156" s="1">
        <f>IF(D156&gt;=1,"OK","CHECK")</f>
      </c>
    </row>
    <row r="157">
      <c r="B157" s="1" t="inlineStr">
        <is>
          <t xml:space="preserve">Midpoint dv/dt at start-up (I.su / c.HB)</t>
        </is>
      </c>
      <c r="C157" s="1" t="inlineStr">
        <is>
          <t xml:space="preserve">dv/dt.su</t>
        </is>
      </c>
      <c r="D157" s="49">
        <f>CC!$C$134</f>
      </c>
      <c r="E157" s="26" t="inlineStr">
        <is>
          <t xml:space="preserve">V/ns</t>
        </is>
      </c>
    </row>
    <row r="158">
      <c r="B158" s="1" t="inlineStr">
        <is>
          <t xml:space="preserve">Highest bus on the HS pin, sqrt(2) x VAC.max</t>
        </is>
      </c>
      <c r="C158" s="1" t="inlineStr">
        <is>
          <t xml:space="preserve">V.bus.max</t>
        </is>
      </c>
      <c r="D158" s="49">
        <f>CC!$C$86</f>
      </c>
      <c r="E158" s="26" t="inlineStr">
        <is>
          <t xml:space="preserve">V</t>
        </is>
      </c>
    </row>
    <row r="159">
      <c r="B159" s="1" t="inlineStr">
        <is>
          <t xml:space="preserve">Driver ratings margin: dV/dt, HS pin voltage, L6790A V.OH 4 V vs V.IH.max (&gt;1)</t>
        </is>
      </c>
      <c r="C159" s="1" t="inlineStr">
        <is>
          <t xml:space="preserve">k.drv</t>
        </is>
      </c>
      <c r="D159" s="49">
        <f>CC!$C$135</f>
      </c>
      <c r="E159" s="26" t="inlineStr">
        <is>
          <t xml:space="preserve">-</t>
        </is>
      </c>
      <c r="F159" s="1">
        <f>IF(D159&gt;=1,"OK","CHECK")</f>
      </c>
    </row>
    <row r="160">
      <c r="B160" s="1" t="inlineStr">
        <is>
          <t xml:space="preserve">Maximum driver dissipation at Ta.drv: (Tj.max - Ta.drv) / Rth</t>
        </is>
      </c>
      <c r="C160" s="1" t="inlineStr">
        <is>
          <t xml:space="preserve">P.drv.max</t>
        </is>
      </c>
      <c r="D160" s="49">
        <f>CC!$C$102</f>
      </c>
      <c r="E160" s="26" t="inlineStr">
        <is>
          <t xml:space="preserve">W</t>
        </is>
      </c>
    </row>
    <row r="161">
      <c r="B161" s="1" t="inlineStr">
        <is>
          <t xml:space="preserve">Driver dissipation at f.Max, both sides (&lt;= P.drv.max)</t>
        </is>
      </c>
      <c r="C161" s="1" t="inlineStr">
        <is>
          <t xml:space="preserve">P.drv</t>
        </is>
      </c>
      <c r="D161" s="49">
        <f>CC!$C$101</f>
      </c>
      <c r="E161" s="26" t="inlineStr">
        <is>
          <t xml:space="preserve">W</t>
        </is>
      </c>
      <c r="F161" s="1">
        <f>IF(D161&lt;=D160,"OK","CHECK")</f>
      </c>
    </row>
    <row r="162">
      <c r="B162" s="1" t="inlineStr">
        <is>
          <t xml:space="preserve">Driver junction temperature at f.Max and Ta.drv</t>
        </is>
      </c>
      <c r="C162" s="1" t="inlineStr">
        <is>
          <t xml:space="preserve">Tj.drv</t>
        </is>
      </c>
      <c r="D162" s="49">
        <f>CC!$C$165</f>
      </c>
      <c r="E162" s="26" t="inlineStr">
        <is>
          <t xml:space="preserve">˚C</t>
        </is>
      </c>
    </row>
    <row r="163">
      <c r="B163" s="1" t="inlineStr">
        <is>
          <t xml:space="preserve">Start-up frequency f.SU (&lt;= driver f.max and L6790A 675 kHz)</t>
        </is>
      </c>
      <c r="C163" s="1" t="inlineStr">
        <is>
          <t xml:space="preserve">f.SU</t>
        </is>
      </c>
      <c r="D163" s="49">
        <f>'Device Setting'!$D$29</f>
      </c>
      <c r="E163" s="26" t="inlineStr">
        <is>
          <t xml:space="preserve">kHz</t>
        </is>
      </c>
      <c r="F163" s="1">
        <f>IF(D163&lt;=MIN(D100,CC!$C$79),"OK","CHECK")</f>
      </c>
    </row>
    <row r="164">
      <c r="B164" s="1" t="inlineStr">
        <is>
          <t xml:space="preserve">R.on dissipation at f.Max (package rating &gt;= 2x)</t>
        </is>
      </c>
      <c r="C164" s="1" t="inlineStr">
        <is>
          <t xml:space="preserve">P.Ron</t>
        </is>
      </c>
      <c r="D164" s="49">
        <f>CC!$C$163</f>
      </c>
      <c r="E164" s="26" t="inlineStr">
        <is>
          <t xml:space="preserve">W</t>
        </is>
      </c>
    </row>
    <row r="165">
      <c r="B165" s="1" t="inlineStr">
        <is>
          <t xml:space="preserve">R.off dissipation at f.Max (package rating &gt;= 2x)</t>
        </is>
      </c>
      <c r="C165" s="1" t="inlineStr">
        <is>
          <t xml:space="preserve">P.Roff</t>
        </is>
      </c>
      <c r="D165" s="49">
        <f>CC!$C$164</f>
      </c>
      <c r="E165" s="26" t="inlineStr">
        <is>
          <t xml:space="preserve">W</t>
        </is>
      </c>
    </row>
    <row r="166">
      <c r="B166" s="1" t="inlineStr">
        <is>
          <t xml:space="preserve">D.boot peak current into an empty C.boot</t>
        </is>
      </c>
      <c r="C166" s="1" t="inlineStr">
        <is>
          <t xml:space="preserve">I.boot.pk</t>
        </is>
      </c>
      <c r="D166" s="49">
        <f>CC!$C$156</f>
      </c>
      <c r="E166" s="26" t="inlineStr">
        <is>
          <t xml:space="preserve">A</t>
        </is>
      </c>
    </row>
    <row r="167">
      <c r="B167" s="1" t="inlineStr">
        <is>
          <t xml:space="preserve">D.boot average current at f.Max</t>
        </is>
      </c>
      <c r="C167" s="1" t="inlineStr">
        <is>
          <t xml:space="preserve">I.boot.avg</t>
        </is>
      </c>
      <c r="D167" s="49">
        <f>CC!$C$157</f>
      </c>
      <c r="E167" s="26" t="inlineStr">
        <is>
          <t xml:space="preserve">mA</t>
        </is>
      </c>
    </row>
    <row r="168">
      <c r="B168" s="1" t="inlineStr">
        <is>
          <t xml:space="preserve">D.boot reverse voltage seen: V.bus.max + V.drv</t>
        </is>
      </c>
      <c r="C168" s="1" t="inlineStr">
        <is>
          <t xml:space="preserve">V.RRM.need</t>
        </is>
      </c>
      <c r="D168" s="49">
        <f>CC!$C$158</f>
      </c>
      <c r="E168" s="26" t="inlineStr">
        <is>
          <t xml:space="preserve">V</t>
        </is>
      </c>
    </row>
    <row r="169">
      <c r="B169" s="1" t="inlineStr">
        <is>
          <t xml:space="preserve">D.boot margin: V.RRM, I.FSM / I.boot.pk, I.F / I.boot.avg (&gt;1)</t>
        </is>
      </c>
      <c r="C169" s="1" t="inlineStr">
        <is>
          <t xml:space="preserve">k.D.boot</t>
        </is>
      </c>
      <c r="D169" s="49">
        <f>CC!$C$159</f>
      </c>
      <c r="E169" s="26" t="inlineStr">
        <is>
          <t xml:space="preserve">-</t>
        </is>
      </c>
      <c r="F169" s="1">
        <f>IF(D169&gt;=1,"OK","CHECK")</f>
      </c>
    </row>
    <row r="170">
      <c r="B170" s="1" t="inlineStr">
        <is>
          <t xml:space="preserve">D.off peak current (gate at V.drv through R.off)</t>
        </is>
      </c>
      <c r="C170" s="1" t="inlineStr">
        <is>
          <t xml:space="preserve">I.off.pk</t>
        </is>
      </c>
      <c r="D170" s="49">
        <f>CC!$C$145</f>
      </c>
      <c r="E170" s="26" t="inlineStr">
        <is>
          <t xml:space="preserve">A</t>
        </is>
      </c>
    </row>
    <row r="171">
      <c r="B171" s="1" t="inlineStr">
        <is>
          <t xml:space="preserve">D.off average current at f.Max</t>
        </is>
      </c>
      <c r="C171" s="1" t="inlineStr">
        <is>
          <t xml:space="preserve">I.off.avg</t>
        </is>
      </c>
      <c r="D171" s="49">
        <f>CC!$C$146</f>
      </c>
      <c r="E171" s="26" t="inlineStr">
        <is>
          <t xml:space="preserve">mA</t>
        </is>
      </c>
    </row>
    <row r="172">
      <c r="B172" s="1" t="inlineStr">
        <is>
          <t xml:space="preserve">D.off margin: I.FSM / I.off.pk, I.F / I.off.avg (&gt;1; "-" without D.off)</t>
        </is>
      </c>
      <c r="C172" s="1" t="inlineStr">
        <is>
          <t xml:space="preserve">k.D.off</t>
        </is>
      </c>
      <c r="D172" s="49">
        <f>CC!$C$147</f>
      </c>
      <c r="E172" s="26" t="inlineStr">
        <is>
          <t xml:space="preserve">-</t>
        </is>
      </c>
      <c r="F172" s="1">
        <f>IF(D118=0,"-",IF(D172&gt;=1,"OK","CHECK"))</f>
      </c>
    </row>
    <row r="173"/>
    <row r="174"/>
    <row r="175"/>
    <row r="176"/>
    <row r="177"/>
    <row r="178"/>
    <row r="179" spans="2:14" ht="18" customHeight="1">
      <c r="B179"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179" s="19"/>
      <c r="F179" s="76"/>
      <c r="G179" s="76"/>
      <c r="H179" s="76"/>
      <c r="I179" s="76"/>
      <c r="J179" s="76"/>
      <c r="K179" s="76"/>
      <c r="L179" s="76"/>
      <c r="M179" s="76"/>
      <c r="N179" s="76"/>
    </row>
    <row r="180" spans="2:14" ht="14.25" customHeight="1">
      <c r="B180" s="1"/>
      <c r="C180" s="1"/>
      <c r="D180" s="77"/>
      <c r="E180" s="1"/>
      <c r="F180" s="76"/>
      <c r="G180" s="76"/>
      <c r="H180" s="76"/>
      <c r="I180" s="76"/>
      <c r="J180" s="76"/>
      <c r="K180" s="76"/>
      <c r="L180" s="76"/>
      <c r="M180" s="76"/>
      <c r="N180" s="76"/>
    </row>
    <row r="181" spans="2:14" ht="15.75" customHeight="1">
      <c r="B181" s="20" t="s">
        <v>356</v>
      </c>
      <c r="C181" s="20" t="s">
        <v>132</v>
      </c>
      <c r="D181" s="20" t="s">
        <v>133</v>
      </c>
      <c r="E181" s="20" t="s">
        <v>431</v>
      </c>
      <c r="F181" s="76"/>
      <c r="G181" s="76"/>
      <c r="H181" s="76"/>
      <c r="I181" s="76"/>
      <c r="J181" s="76"/>
      <c r="K181" s="76"/>
      <c r="L181" s="76"/>
      <c r="M181" s="76"/>
      <c r="N181" s="76"/>
    </row>
    <row r="182" spans="2:14" ht="15" customHeight="1">
      <c r="B182" s="1" t="s">
        <v>1086</v>
      </c>
      <c r="C182" s="1" t="s">
        <v>1187</v>
      </c>
      <c r="D182" s="49">
        <f>CC!J25</f>
        <v>28.329125161562832</v>
      </c>
      <c r="E182" s="1" t="s">
        <v>237</v>
      </c>
      <c r="F182" s="65"/>
      <c r="G182" s="76"/>
      <c r="H182" s="76"/>
      <c r="I182" s="76"/>
      <c r="J182" s="76"/>
      <c r="K182" s="76"/>
      <c r="L182" s="76"/>
      <c r="M182" s="76"/>
      <c r="N182" s="76"/>
    </row>
    <row r="183" spans="2:14" ht="15" customHeight="1">
      <c r="B183" s="1" t="s">
        <v>1087</v>
      </c>
      <c r="C183" s="1" t="s">
        <v>1188</v>
      </c>
      <c r="D183" s="49">
        <f>CC!J26</f>
        <v>28.329125161562832</v>
      </c>
      <c r="E183" s="1" t="s">
        <v>237</v>
      </c>
      <c r="F183" s="65"/>
      <c r="G183" s="76"/>
      <c r="H183" s="76"/>
      <c r="I183" s="76"/>
      <c r="J183" s="76"/>
      <c r="K183" s="76"/>
      <c r="L183" s="76"/>
      <c r="M183" s="76"/>
      <c r="N183" s="76"/>
    </row>
    <row r="184" spans="2:14" ht="15" customHeight="1">
      <c r="B184" s="1" t="s">
        <v>1088</v>
      </c>
      <c r="C184" s="1" t="s">
        <v>432</v>
      </c>
      <c r="D184" s="49">
        <f>CC!E24</f>
        <v>98.617963506893403</v>
      </c>
      <c r="E184" s="1" t="s">
        <v>237</v>
      </c>
      <c r="F184" s="76"/>
      <c r="G184" s="76"/>
      <c r="H184" s="76"/>
      <c r="I184" s="76"/>
      <c r="J184" s="76"/>
      <c r="K184" s="76"/>
      <c r="L184" s="76"/>
      <c r="M184" s="76"/>
      <c r="N184" s="76"/>
    </row>
    <row r="185" spans="2:14" ht="15" customHeight="1">
      <c r="B185" s="1" t="s">
        <v>1089</v>
      </c>
      <c r="C185" s="1" t="s">
        <v>1090</v>
      </c>
      <c r="D185" s="49">
        <f>IF(ISNUMBER(F183),F183,D183)/D201</f>
        <v>14.164562580781416</v>
      </c>
      <c r="E185" s="1" t="s">
        <v>237</v>
      </c>
      <c r="F185" s="76"/>
      <c r="G185" s="76"/>
      <c r="H185" s="76"/>
      <c r="I185" s="76"/>
      <c r="J185" s="76"/>
      <c r="K185" s="76"/>
      <c r="L185" s="76"/>
      <c r="M185" s="76"/>
      <c r="N185" s="76"/>
    </row>
    <row r="186" spans="2:14" ht="15" customHeight="1">
      <c r="B186" s="20" t="s">
        <v>356</v>
      </c>
      <c r="C186" s="20" t="s">
        <v>132</v>
      </c>
      <c r="D186" s="20" t="s">
        <v>133</v>
      </c>
      <c r="E186" s="20" t="s">
        <v>431</v>
      </c>
      <c r="F186" s="76"/>
      <c r="G186" s="76"/>
      <c r="H186" s="76"/>
      <c r="I186" s="76"/>
      <c r="J186" s="76"/>
      <c r="K186" s="76"/>
      <c r="L186" s="76"/>
      <c r="M186" s="76"/>
      <c r="N186" s="76"/>
    </row>
    <row r="187" spans="2:14" ht="15" customHeight="1">
      <c r="B187" s="1" t="s">
        <v>1091</v>
      </c>
      <c r="C187" s="1" t="s">
        <v>415</v>
      </c>
      <c r="D187" s="49">
        <f>1.2*2*'Design Spec'!$D$95/'Design Spec'!$D$107</f>
        <v>60</v>
      </c>
      <c r="E187" s="1" t="s">
        <v>150</v>
      </c>
      <c r="F187" s="76"/>
      <c r="G187" s="76"/>
      <c r="H187" s="76"/>
      <c r="I187" s="76"/>
      <c r="J187" s="76"/>
      <c r="K187" s="76"/>
      <c r="L187" s="76"/>
      <c r="M187" s="76"/>
      <c r="N187" s="76"/>
    </row>
    <row r="188" spans="2:14" ht="14.25" customHeight="1">
      <c r="B188" s="1" t="s">
        <v>1092</v>
      </c>
      <c r="C188" s="1" t="s">
        <v>416</v>
      </c>
      <c r="D188" s="49">
        <f>1.2*D184</f>
        <v>118.34155620827208</v>
      </c>
      <c r="E188" s="1" t="s">
        <v>237</v>
      </c>
      <c r="F188" s="76"/>
      <c r="G188" s="76"/>
      <c r="H188" s="76"/>
      <c r="I188" s="76"/>
      <c r="J188" s="76"/>
      <c r="K188" s="76"/>
      <c r="L188" s="76"/>
      <c r="M188" s="76"/>
      <c r="N188" s="76"/>
    </row>
    <row r="189" spans="2:14" ht="14.25" customHeight="1">
      <c r="B189" s="1" t="s">
        <v>1093</v>
      </c>
      <c r="C189" s="1" t="s">
        <v>1094</v>
      </c>
      <c r="D189" s="49">
        <f>D184/D201</f>
        <v>49.308981753446702</v>
      </c>
      <c r="E189" s="1" t="s">
        <v>237</v>
      </c>
      <c r="F189" s="76"/>
      <c r="G189" s="76"/>
      <c r="H189" s="76"/>
      <c r="I189" s="76"/>
      <c r="J189" s="76"/>
      <c r="K189" s="76"/>
      <c r="L189" s="76"/>
      <c r="M189" s="76"/>
      <c r="N189" s="76"/>
    </row>
    <row r="190" spans="2:14" ht="15.75" customHeight="1">
      <c r="B190" s="20" t="s">
        <v>417</v>
      </c>
      <c r="C190" s="202" t="s">
        <v>1202</v>
      </c>
      <c r="D190" s="202"/>
      <c r="E190" s="202"/>
      <c r="F190" s="76"/>
      <c r="G190" s="76"/>
      <c r="H190" s="76"/>
      <c r="I190" s="76"/>
      <c r="J190" s="76"/>
      <c r="K190" s="76"/>
      <c r="L190" s="76"/>
      <c r="M190" s="76"/>
      <c r="N190" s="76"/>
    </row>
    <row r="191" spans="2:14" ht="14.25" customHeight="1">
      <c r="B191" s="1" t="s">
        <v>1095</v>
      </c>
      <c r="C191" s="1" t="s">
        <v>1096</v>
      </c>
      <c r="D191" s="2">
        <v>2</v>
      </c>
      <c r="E191" s="26" t="s">
        <v>181</v>
      </c>
      <c r="F191" s="76"/>
    </row>
    <row r="192" spans="2:14" ht="15.75" customHeight="1">
      <c r="B192" s="20" t="s">
        <v>356</v>
      </c>
      <c r="C192" s="20" t="s">
        <v>132</v>
      </c>
      <c r="D192" s="20" t="s">
        <v>133</v>
      </c>
      <c r="E192" s="20" t="s">
        <v>134</v>
      </c>
    </row>
    <row r="193" spans="2:14" ht="14.25" customHeight="1">
      <c r="B193" s="1" t="s">
        <v>1097</v>
      </c>
      <c r="C193" s="1" t="s">
        <v>403</v>
      </c>
      <c r="D193" s="2">
        <v>0</v>
      </c>
      <c r="E193" s="1" t="s">
        <v>150</v>
      </c>
    </row>
    <row r="194" spans="2:14" ht="15" customHeight="1">
      <c r="B194" s="1" t="s">
        <v>1219</v>
      </c>
      <c r="C194" s="1" t="s">
        <v>433</v>
      </c>
      <c r="D194" s="2">
        <v>3.7000000000000002E-3</v>
      </c>
      <c r="E194" s="26" t="s">
        <v>175</v>
      </c>
    </row>
    <row r="195" spans="2:5" ht="15" customHeight="1">
      <c r="B195" s="1" t="s">
        <v>423</v>
      </c>
      <c r="C195" s="1" t="s">
        <v>424</v>
      </c>
      <c r="D195" s="2">
        <v>25</v>
      </c>
      <c r="E195" s="26" t="s">
        <v>425</v>
      </c>
    </row>
    <row r="196" spans="2:5" ht="15">
      <c r="B196" s="1" t="s">
        <v>1217</v>
      </c>
      <c r="C196" s="1" t="s">
        <v>1098</v>
      </c>
      <c r="D196" s="2">
        <v>1.9</v>
      </c>
      <c r="E196" s="26" t="s">
        <v>181</v>
      </c>
    </row>
    <row r="197" spans="2:5" ht="15.75" customHeight="1">
      <c r="B197" s="20" t="s">
        <v>356</v>
      </c>
      <c r="C197" s="20" t="s">
        <v>132</v>
      </c>
      <c r="D197" s="20" t="s">
        <v>133</v>
      </c>
      <c r="E197" s="20" t="s">
        <v>134</v>
      </c>
    </row>
    <row r="198" spans="2:5" ht="14.25" customHeight="1">
      <c r="B198" s="1" t="s">
        <v>1084</v>
      </c>
      <c r="C198" s="1" t="s">
        <v>434</v>
      </c>
      <c r="D198" s="49">
        <f>IF(D191=2,0,0.5*D193*'Preliminary Calculation'!D7/D201)+D194*D196*D185^2</f>
        <v>1.4104628767272578</v>
      </c>
      <c r="E198" s="1" t="s">
        <v>161</v>
      </c>
    </row>
    <row r="199" spans="2:5" ht="15" customHeight="1">
      <c r="B199" s="1" t="s">
        <v>1099</v>
      </c>
      <c r="C199" s="1" t="s">
        <v>429</v>
      </c>
      <c r="D199" s="49">
        <f>(125-D195)/D198</f>
        <v>70.898711089818406</v>
      </c>
      <c r="E199" s="1" t="s">
        <v>430</v>
      </c>
    </row>
    <row r="200" spans="2:5" ht="14.25" customHeight="1">
      <c r="B200" s="1" t="s">
        <v>1100</v>
      </c>
      <c r="C200" s="1" t="s">
        <v>435</v>
      </c>
      <c r="D200" s="49">
        <f>D198*D201*2*'Design Spec'!$D$107</f>
        <v>5.6418515069090311</v>
      </c>
      <c r="E200" s="1" t="s">
        <v>161</v>
      </c>
    </row>
    <row r="201" spans="2:5" ht="15">
      <c r="B201" s="1" t="s">
        <v>1101</v>
      </c>
      <c r="C201" s="1" t="s">
        <v>1102</v>
      </c>
      <c r="D201" s="2">
        <v>2</v>
      </c>
      <c r="E201" s="26" t="s">
        <v>181</v>
      </c>
    </row>
    <row r="202" spans="2:5" ht="18" customHeight="1">
      <c r="B202" s="28" t="s">
        <v>436</v>
      </c>
      <c r="C202" s="28" t="s">
        <v>437</v>
      </c>
      <c r="D202" s="78"/>
      <c r="E202" s="79"/>
    </row>
    <row r="203" spans="2:5" ht="14.25" customHeight="1">
      <c r="B203" s="80"/>
      <c r="C203" s="80"/>
      <c r="E203" s="81"/>
    </row>
    <row r="204" spans="2:5" ht="14.25" customHeight="1">
      <c r="B204" s="80"/>
      <c r="C204" s="80"/>
      <c r="E204" s="81"/>
    </row>
    <row r="205" spans="2:5" ht="14.25" customHeight="1">
      <c r="B205" s="80"/>
      <c r="C205" s="80"/>
      <c r="E205" s="81"/>
    </row>
    <row r="206" spans="2:5" ht="14.25" customHeight="1">
      <c r="B206" s="80"/>
      <c r="C206" s="80"/>
      <c r="E206" s="81"/>
    </row>
    <row r="207" spans="2:5" ht="14.25" customHeight="1">
      <c r="B207" s="80"/>
      <c r="C207" s="80"/>
      <c r="E207" s="81"/>
    </row>
    <row r="208" spans="2:5" ht="14.25" customHeight="1">
      <c r="B208" s="80"/>
      <c r="C208" s="80"/>
      <c r="E208" s="81"/>
    </row>
    <row r="209" spans="2:5" ht="14.25" customHeight="1">
      <c r="B209" s="80"/>
      <c r="C209" s="80"/>
      <c r="E209" s="81"/>
    </row>
    <row r="210" spans="2:5" ht="14.25" customHeight="1">
      <c r="B210" s="80"/>
      <c r="C210" s="80"/>
      <c r="E210" s="81"/>
    </row>
    <row r="211" spans="2:5" ht="14.25" customHeight="1">
      <c r="B211" s="80"/>
      <c r="C211" s="80"/>
      <c r="E211" s="81"/>
    </row>
    <row r="212" spans="2:5" ht="14.25" customHeight="1">
      <c r="B212" s="80"/>
      <c r="C212" s="80"/>
      <c r="E212" s="81"/>
    </row>
    <row r="213" spans="2:5" ht="14.25" customHeight="1">
      <c r="B213" s="80"/>
      <c r="C213" s="80"/>
      <c r="E213" s="81"/>
    </row>
    <row r="214" spans="2:5" ht="14.25" customHeight="1">
      <c r="B214" s="80"/>
      <c r="C214" s="80"/>
      <c r="E214" s="81"/>
    </row>
    <row r="215" spans="2:5" ht="14.25" customHeight="1">
      <c r="B215" s="80"/>
      <c r="C215" s="80"/>
      <c r="E215" s="81"/>
    </row>
    <row r="216" spans="2:5" ht="14.25" customHeight="1">
      <c r="B216" s="80"/>
      <c r="C216" s="80"/>
      <c r="E216" s="81"/>
    </row>
    <row r="217" spans="2:5" ht="14.25" customHeight="1">
      <c r="B217" s="82"/>
      <c r="C217" s="82"/>
      <c r="D217" s="83"/>
      <c r="E217" s="84"/>
    </row>
  </sheetData>
  <mergeCells count="6">
    <mergeCell ref="C116:E116"/>
    <mergeCell ref="C110:E110"/>
    <mergeCell ref="C90:E90"/>
    <mergeCell ref="C50:E50"/>
    <mergeCell ref="C67:E67"/>
    <mergeCell ref="C190:E190"/>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9.1</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5" ht="16.5" customHeight="1">
      <c r="B57" s="1" t="s">
        <v>505</v>
      </c>
      <c r="C57" s="1" t="s">
        <v>506</v>
      </c>
      <c r="D57" s="2">
        <v>0</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6" ht="16.5" customHeight="1">
      <c r="B61" s="1" t="s">
        <v>509</v>
      </c>
      <c r="C61" s="1" t="s">
        <v>510</v>
      </c>
      <c r="D61" s="1">
        <f>16.7*(D57*D46*(10^-3))</f>
        <v>30.06</v>
      </c>
      <c r="E61" s="1" t="s">
        <v>452</v>
      </c>
      <c r="F61" s="2">
        <v>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1.5</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360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13</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11.74</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inlineStr">
        <is>
          <t xml:space="preserve">TL431G-AE2-R</t>
        </is>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0.5</v>
      </c>
      <c r="E23" s="1" t="s">
        <v>455</v>
      </c>
      <c r="H23" s="109"/>
      <c r="K23" s="110"/>
    </row>
    <row r="24" spans="2:11" ht="14.25" customHeight="1">
      <c r="B24" s="25"/>
      <c r="C24" s="25"/>
      <c r="D24" s="25"/>
      <c r="E24" s="25"/>
      <c r="H24" s="109"/>
      <c r="K24" s="110"/>
    </row>
    <row r="25" spans="2:11" ht="15" customHeight="1">
      <c r="B25" s="69" t="s">
        <v>589</v>
      </c>
      <c r="C25" s="202" t="inlineStr">
        <is>
          <t xml:space="preserve">UPC1008G-LS04-R</t>
        </is>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5" ht="14.25" customHeight="1">
      <c r="B28" s="1" t="s">
        <v>590</v>
      </c>
      <c r="C28" s="1" t="s">
        <v>591</v>
      </c>
      <c r="D28" s="2">
        <v>1.45</v>
      </c>
      <c r="E28" s="1" t="s">
        <v>150</v>
      </c>
    </row>
    <row r="29" spans="2:5" ht="14.25" customHeight="1">
      <c r="B29" s="1" t="s">
        <v>592</v>
      </c>
      <c r="C29" s="1" t="s">
        <v>593</v>
      </c>
      <c r="D29" s="2">
        <v>0.54</v>
      </c>
      <c r="E29" s="1"/>
    </row>
    <row r="30" spans="2:11" ht="14.25" customHeight="1">
      <c r="B30" s="1" t="s">
        <v>594</v>
      </c>
      <c r="C30" s="1" t="s">
        <v>595</v>
      </c>
      <c r="D30" s="2">
        <v>3</v>
      </c>
      <c r="E30" s="1" t="s">
        <v>200</v>
      </c>
    </row>
    <row r="31" spans="2:5" ht="14.25" customHeight="1">
      <c r="B31" s="1" t="s">
        <v>596</v>
      </c>
      <c r="C31" s="1" t="s">
        <v>597</v>
      </c>
      <c r="D31" s="2">
        <v>0.65</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470</v>
      </c>
      <c r="G93" s="125"/>
    </row>
    <row r="94" spans="2:7" ht="14.25" customHeight="1">
      <c r="B94" s="1" t="s">
        <v>666</v>
      </c>
      <c r="C94" s="1" t="s">
        <v>667</v>
      </c>
      <c r="D94" s="49">
        <f>IF(F93,F93,D93)*((D85/D86)-1)</f>
        <v>525.49155297423772</v>
      </c>
      <c r="E94" s="1" t="s">
        <v>200</v>
      </c>
      <c r="F94" s="2">
        <v>4700</v>
      </c>
      <c r="G94" s="125"/>
    </row>
    <row r="95" spans="2:7" ht="14.25" customHeight="1">
      <c r="B95" s="1" t="s">
        <v>668</v>
      </c>
      <c r="C95" s="54" t="s">
        <v>669</v>
      </c>
      <c r="D95" s="55">
        <f>1/(2*PI()*(D86*IF(F94,F94,D94)*(10^-9)))/1000</f>
        <v>45.715337710116671</v>
      </c>
      <c r="E95" s="54" t="s">
        <v>452</v>
      </c>
      <c r="F95" s="2">
        <v>10</v>
      </c>
      <c r="G95" s="125"/>
    </row>
    <row r="96" spans="2:7" ht="14.25" customHeight="1">
      <c r="B96" s="1" t="s">
        <v>670</v>
      </c>
      <c r="C96" s="1" t="s">
        <v>671</v>
      </c>
      <c r="D96" s="55">
        <f>((1/(2*PI()*D87*D17*1000))-(D30*10^-9))*(10^9)</f>
        <v>1.5472840883398662</v>
      </c>
      <c r="E96" s="1" t="s">
        <v>200</v>
      </c>
      <c r="F96" s="2">
        <v>1.6</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50</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Components'!$C$190</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165"/>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row r="59">
      <c r="B59" s="10" t="inlineStr">
        <is>
          <t xml:space="preserve">Peak tank current vs load @ Vin.min line peak - feeds Res. Tank Design 73-79</t>
        </is>
      </c>
    </row>
    <row r="60">
      <c r="B60" s="10" t="inlineStr">
        <is>
          <t xml:space="preserve">load</t>
        </is>
      </c>
      <c r="C60" s="10">
        <v>0</v>
      </c>
      <c r="D60" s="10">
        <v>0.25</v>
      </c>
      <c r="E60" s="10">
        <v>0.5</v>
      </c>
      <c r="F60" s="10">
        <v>0.75</v>
      </c>
      <c r="G60" s="10">
        <v>1</v>
      </c>
    </row>
    <row r="61">
      <c r="B61" s="10" t="inlineStr">
        <is>
          <t xml:space="preserve">Q = Q.pk x load</t>
        </is>
      </c>
      <c r="C61" s="87">
        <f>('Res. Tank Design'!$D$52/'Res. Tank Design'!$D$17)*C60</f>
      </c>
      <c r="D61" s="87">
        <f>('Res. Tank Design'!$D$52/'Res. Tank Design'!$D$17)*D60</f>
      </c>
      <c r="E61" s="87">
        <f>('Res. Tank Design'!$D$52/'Res. Tank Design'!$D$17)*E60</f>
      </c>
      <c r="F61" s="87">
        <f>('Res. Tank Design'!$D$52/'Res. Tank Design'!$D$17)*F60</f>
      </c>
      <c r="G61" s="87">
        <f>('Res. Tank Design'!$D$52/'Res. Tank Design'!$D$17)*G60</f>
      </c>
    </row>
    <row r="62">
      <c r="B62" s="10" t="inlineStr">
        <is>
          <t xml:space="preserve">a2  (cubic in x = 1/fn^2)</t>
        </is>
      </c>
      <c r="C62" s="87">
        <f>(C61^2-2*'Res. Tank Design'!$D$50*(1+'Res. Tank Design'!$D$50))/'Res. Tank Design'!$D$50^2</f>
      </c>
      <c r="D62" s="87">
        <f>(D61^2-2*'Res. Tank Design'!$D$50*(1+'Res. Tank Design'!$D$50))/'Res. Tank Design'!$D$50^2</f>
      </c>
      <c r="E62" s="87">
        <f>(E61^2-2*'Res. Tank Design'!$D$50*(1+'Res. Tank Design'!$D$50))/'Res. Tank Design'!$D$50^2</f>
      </c>
      <c r="F62" s="87">
        <f>(F61^2-2*'Res. Tank Design'!$D$50*(1+'Res. Tank Design'!$D$50))/'Res. Tank Design'!$D$50^2</f>
      </c>
      <c r="G62" s="87">
        <f>(G61^2-2*'Res. Tank Design'!$D$50*(1+'Res. Tank Design'!$D$50))/'Res. Tank Design'!$D$50^2</f>
      </c>
    </row>
    <row r="63">
      <c r="B63" s="10" t="inlineStr">
        <is>
          <t xml:space="preserve">a1</t>
        </is>
      </c>
      <c r="C63" s="87">
        <f>((1+'Res. Tank Design'!$D$50)^2-2*C61^2-1/'Res. Tank Design'!$D$10^2)/'Res. Tank Design'!$D$50^2</f>
      </c>
      <c r="D63" s="87">
        <f>((1+'Res. Tank Design'!$D$50)^2-2*D61^2-1/'Res. Tank Design'!$D$10^2)/'Res. Tank Design'!$D$50^2</f>
      </c>
      <c r="E63" s="87">
        <f>((1+'Res. Tank Design'!$D$50)^2-2*E61^2-1/'Res. Tank Design'!$D$10^2)/'Res. Tank Design'!$D$50^2</f>
      </c>
      <c r="F63" s="87">
        <f>((1+'Res. Tank Design'!$D$50)^2-2*F61^2-1/'Res. Tank Design'!$D$10^2)/'Res. Tank Design'!$D$50^2</f>
      </c>
      <c r="G63" s="87">
        <f>((1+'Res. Tank Design'!$D$50)^2-2*G61^2-1/'Res. Tank Design'!$D$10^2)/'Res. Tank Design'!$D$50^2</f>
      </c>
    </row>
    <row r="64">
      <c r="B64" s="10" t="inlineStr">
        <is>
          <t xml:space="preserve">a0</t>
        </is>
      </c>
      <c r="C64" s="87">
        <f>C61^2/'Res. Tank Design'!$D$50^2</f>
      </c>
      <c r="D64" s="87">
        <f>D61^2/'Res. Tank Design'!$D$50^2</f>
      </c>
      <c r="E64" s="87">
        <f>E61^2/'Res. Tank Design'!$D$50^2</f>
      </c>
      <c r="F64" s="87">
        <f>F61^2/'Res. Tank Design'!$D$50^2</f>
      </c>
      <c r="G64" s="87">
        <f>G61^2/'Res. Tank Design'!$D$50^2</f>
      </c>
    </row>
    <row r="65">
      <c r="B65" s="10" t="inlineStr">
        <is>
          <t xml:space="preserve">p</t>
        </is>
      </c>
      <c r="C65" s="87">
        <f>C63-C62^2/3</f>
      </c>
      <c r="D65" s="87">
        <f>D63-D62^2/3</f>
      </c>
      <c r="E65" s="87">
        <f>E63-E62^2/3</f>
      </c>
      <c r="F65" s="87">
        <f>F63-F62^2/3</f>
      </c>
      <c r="G65" s="87">
        <f>G63-G62^2/3</f>
      </c>
    </row>
    <row r="66">
      <c r="B66" s="10" t="inlineStr">
        <is>
          <t xml:space="preserve">q</t>
        </is>
      </c>
      <c r="C66" s="87">
        <f>2*C62^3/27-C62*C63/3+C64</f>
      </c>
      <c r="D66" s="87">
        <f>2*D62^3/27-D62*D63/3+D64</f>
      </c>
      <c r="E66" s="87">
        <f>2*E62^3/27-E62*E63/3+E64</f>
      </c>
      <c r="F66" s="87">
        <f>2*F62^3/27-F62*F63/3+F64</f>
      </c>
      <c r="G66" s="87">
        <f>2*G62^3/27-G62*G63/3+G64</f>
      </c>
    </row>
    <row r="67">
      <c r="B67" s="10" t="inlineStr">
        <is>
          <t xml:space="preserve">fn (middle root)</t>
        </is>
      </c>
      <c r="C67" s="87">
        <f>1/SQRT(2*SQRT(-C65/3)*COS(ACOS(3*C66/(2*C65)*SQRT(-3/C65))/3-2*PI()/3)-C62/3)</f>
      </c>
      <c r="D67" s="87">
        <f>1/SQRT(2*SQRT(-D65/3)*COS(ACOS(3*D66/(2*D65)*SQRT(-3/D65))/3-2*PI()/3)-D62/3)</f>
      </c>
      <c r="E67" s="87">
        <f>1/SQRT(2*SQRT(-E65/3)*COS(ACOS(3*E66/(2*E65)*SQRT(-3/E65))/3-2*PI()/3)-E62/3)</f>
      </c>
      <c r="F67" s="87">
        <f>1/SQRT(2*SQRT(-F65/3)*COS(ACOS(3*F66/(2*F65)*SQRT(-3/F65))/3-2*PI()/3)-F62/3)</f>
      </c>
      <c r="G67" s="87">
        <f>1/SQRT(2*SQRT(-G65/3)*COS(ACOS(3*G66/(2*G65)*SQRT(-3/G65))/3-2*PI()/3)-G62/3)</f>
      </c>
    </row>
    <row r="68">
      <c r="B68" s="10" t="inlineStr">
        <is>
          <t xml:space="preserve">fsw</t>
        </is>
      </c>
      <c r="C68" s="87">
        <f>C67*'Res. Tank Design'!$D$55</f>
      </c>
      <c r="D68" s="87">
        <f>D67*'Res. Tank Design'!$D$55</f>
      </c>
      <c r="E68" s="87">
        <f>E67*'Res. Tank Design'!$D$55</f>
      </c>
      <c r="F68" s="87">
        <f>F67*'Res. Tank Design'!$D$55</f>
      </c>
      <c r="G68" s="87">
        <f>G67*'Res. Tank Design'!$D$55</f>
      </c>
    </row>
    <row r="69">
      <c r="B69" s="10" t="inlineStr">
        <is>
          <t xml:space="preserve">Itrafo.pk</t>
        </is>
      </c>
      <c r="C69" s="87">
        <f>PI()*('Res. Tank Design'!$D$55/C68)*2*'Preliminary Calculation'!$D$7*C60/(1-COS(PI()*'Res. Tank Design'!$D$55/MAX(C68,'Res. Tank Design'!$D$55)))/'Res. Tank Design'!$D$42</f>
      </c>
      <c r="D69" s="87">
        <f>PI()*('Res. Tank Design'!$D$55/D68)*2*'Preliminary Calculation'!$D$7*D60/(1-COS(PI()*'Res. Tank Design'!$D$55/MAX(D68,'Res. Tank Design'!$D$55)))/'Res. Tank Design'!$D$42</f>
      </c>
      <c r="E69" s="87">
        <f>PI()*('Res. Tank Design'!$D$55/E68)*2*'Preliminary Calculation'!$D$7*E60/(1-COS(PI()*'Res. Tank Design'!$D$55/MAX(E68,'Res. Tank Design'!$D$55)))/'Res. Tank Design'!$D$42</f>
      </c>
      <c r="F69" s="87">
        <f>PI()*('Res. Tank Design'!$D$55/F68)*2*'Preliminary Calculation'!$D$7*F60/(1-COS(PI()*'Res. Tank Design'!$D$55/MAX(F68,'Res. Tank Design'!$D$55)))/'Res. Tank Design'!$D$42</f>
      </c>
      <c r="G69" s="87">
        <f>PI()*('Res. Tank Design'!$D$55/G68)*2*'Preliminary Calculation'!$D$7*G60/(1-COS(PI()*'Res. Tank Design'!$D$55/MAX(G68,'Res. Tank Design'!$D$55)))/'Res. Tank Design'!$D$42</f>
      </c>
    </row>
    <row r="70">
      <c r="B70" s="10" t="inlineStr">
        <is>
          <t xml:space="preserve">Ilm.pk (trapezoidal)</t>
        </is>
      </c>
      <c r="C70" s="87">
        <f>0.25*'Res. Tank Design'!$D$42*('Design Spec'!$D$95+'Design Spec'!$D$107*'Design Spec'!$D$106)/(IF('Res. Tank Design'!$F$45,'Res. Tank Design'!$F$45,'Res. Tank Design'!$D$45)*10^(-6)*MAX(C68,'Res. Tank Design'!$D$55)*1000)</f>
      </c>
      <c r="D70" s="87">
        <f>0.25*'Res. Tank Design'!$D$42*('Design Spec'!$D$95+'Design Spec'!$D$107*'Design Spec'!$D$106)/(IF('Res. Tank Design'!$F$45,'Res. Tank Design'!$F$45,'Res. Tank Design'!$D$45)*10^(-6)*MAX(D68,'Res. Tank Design'!$D$55)*1000)</f>
      </c>
      <c r="E70" s="87">
        <f>0.25*'Res. Tank Design'!$D$42*('Design Spec'!$D$95+'Design Spec'!$D$107*'Design Spec'!$D$106)/(IF('Res. Tank Design'!$F$45,'Res. Tank Design'!$F$45,'Res. Tank Design'!$D$45)*10^(-6)*MAX(E68,'Res. Tank Design'!$D$55)*1000)</f>
      </c>
      <c r="F70" s="87">
        <f>0.25*'Res. Tank Design'!$D$42*('Design Spec'!$D$95+'Design Spec'!$D$107*'Design Spec'!$D$106)/(IF('Res. Tank Design'!$F$45,'Res. Tank Design'!$F$45,'Res. Tank Design'!$D$45)*10^(-6)*MAX(F68,'Res. Tank Design'!$D$55)*1000)</f>
      </c>
      <c r="G70" s="87">
        <f>0.25*'Res. Tank Design'!$D$42*('Design Spec'!$D$95+'Design Spec'!$D$107*'Design Spec'!$D$106)/(IF('Res. Tank Design'!$F$45,'Res. Tank Design'!$F$45,'Res. Tank Design'!$D$45)*10^(-6)*MAX(G68,'Res. Tank Design'!$D$55)*1000)</f>
      </c>
    </row>
    <row r="71">
      <c r="B71" s="10" t="inlineStr">
        <is>
          <t xml:space="preserve">r.mix = 2 Ilm / (pi Itrafo)</t>
        </is>
      </c>
      <c r="C71" s="87">
        <f>IF(C69&gt;0,2*C70/(PI()*C69),1E+9)</f>
      </c>
      <c r="D71" s="87">
        <f>IF(D69&gt;0,2*D70/(PI()*D69),1E+9)</f>
      </c>
      <c r="E71" s="87">
        <f>IF(E69&gt;0,2*E70/(PI()*E69),1E+9)</f>
      </c>
      <c r="F71" s="87">
        <f>IF(F69&gt;0,2*F70/(PI()*F69),1E+9)</f>
      </c>
      <c r="G71" s="87">
        <f>IF(G69&gt;0,2*G70/(PI()*G69),1E+9)</f>
      </c>
    </row>
    <row r="72">
      <c r="B72" s="10" t="inlineStr">
        <is>
          <t xml:space="preserve">Ilr.pk (composite)</t>
        </is>
      </c>
      <c r="C72" s="87">
        <f>IF(C71&gt;=1,C70,C70*(2*ACOS(-C71)/PI()-1)+C69*SQRT(1-C71^2))</f>
      </c>
      <c r="D72" s="87">
        <f>IF(D71&gt;=1,D70,D70*(2*ACOS(-D71)/PI()-1)+D69*SQRT(1-D71^2))</f>
      </c>
      <c r="E72" s="87">
        <f>IF(E71&gt;=1,E70,E70*(2*ACOS(-E71)/PI()-1)+E69*SQRT(1-E71^2))</f>
      </c>
      <c r="F72" s="87">
        <f>IF(F71&gt;=1,F70,F70*(2*ACOS(-F71)/PI()-1)+F69*SQRT(1-F71^2))</f>
      </c>
      <c r="G72" s="87">
        <f>IF(G71&gt;=1,G70,G70*(2*ACOS(-G71)/PI()-1)+G69*SQRT(1-G71^2))</f>
      </c>
    </row>
    <row r="74">
      <c r="B74" s="10" t="inlineStr">
        <is>
          <t xml:space="preserve">Ilm.pk @ line zero crossing (f.Min, any load)</t>
        </is>
      </c>
      <c r="C74" s="87">
        <f>0.25*'Res. Tank Design'!$D$42*('Design Spec'!$D$95+'Design Spec'!$D$107*'Design Spec'!$D$106)/(IF('Res. Tank Design'!$F$45,'Res. Tank Design'!$F$45,'Res. Tank Design'!$D$45)*10^(-6)*MAX('Device Setting'!$D$28,'Res. Tank Design'!$D$55)*1000)</f>
      </c>
    </row>
    <row r="77">
      <c r="B77" s="10" t="inlineStr">
        <is>
          <t xml:space="preserve">Gate drive working - feeds Power Components 76-82 and 88-177</t>
        </is>
      </c>
    </row>
    <row r="78">
      <c r="B78" s="10" t="inlineStr">
        <is>
          <t xml:space="preserve">L6790A dead time at start-up, before ADT (DS gives none) [assumed]</t>
        </is>
      </c>
      <c r="C78" s="2">
        <v>420</v>
      </c>
      <c r="D78" s="10" t="inlineStr">
        <is>
          <t xml:space="preserve">ns</t>
        </is>
      </c>
    </row>
    <row r="79">
      <c r="B79" s="10" t="inlineStr">
        <is>
          <t xml:space="preserve">L6790A maximum operating frequency (DS: upper limited to about 675 kHz)</t>
        </is>
      </c>
      <c r="C79" s="2">
        <v>675</v>
      </c>
      <c r="D79" s="10" t="inlineStr">
        <is>
          <t xml:space="preserve">kHz</t>
        </is>
      </c>
    </row>
    <row r="80">
      <c r="B80" s="10" t="inlineStr">
        <is>
          <t xml:space="preserve">L6790A highest FB bus = HB/FB morphing threshold (DS V.HVPK_BOH)</t>
        </is>
      </c>
      <c r="C80" s="2">
        <v>235</v>
      </c>
      <c r="D80" s="10" t="inlineStr">
        <is>
          <t xml:space="preserve">V</t>
        </is>
      </c>
    </row>
    <row r="81">
      <c r="B81" s="10" t="inlineStr">
        <is>
          <t xml:space="preserve">Driver source resistance: V.test / I.so</t>
        </is>
      </c>
      <c r="C81" s="87">
        <f>'Power Components'!$D$94/'Power Components'!$D$92</f>
      </c>
      <c r="D81" s="10" t="inlineStr">
        <is>
          <t xml:space="preserve">Ω</t>
        </is>
      </c>
    </row>
    <row r="82">
      <c r="B82" s="10" t="inlineStr">
        <is>
          <t xml:space="preserve">Driver sink resistance: V.test / I.si</t>
        </is>
      </c>
      <c r="C82" s="87">
        <f>'Power Components'!$D$94/'Power Components'!$D$93</f>
      </c>
      <c r="D82" s="10" t="inlineStr">
        <is>
          <t xml:space="preserve">Ω</t>
        </is>
      </c>
    </row>
    <row r="83">
      <c r="B83" s="10" t="inlineStr">
        <is>
          <t xml:space="preserve">V.drv (selected)</t>
        </is>
      </c>
      <c r="C83" s="87">
        <f>'Power Components'!$F$124</f>
      </c>
      <c r="D83" s="10" t="inlineStr">
        <is>
          <t xml:space="preserve">V</t>
        </is>
      </c>
    </row>
    <row r="84">
      <c r="B84" s="10" t="inlineStr">
        <is>
          <t xml:space="preserve">V.drv min: driver range, and 10 V at the high-side gate after D.boot</t>
        </is>
      </c>
      <c r="C84" s="87">
        <f>MAX('Power Components'!$D$95,10+'Power Components'!$D$112)</f>
      </c>
      <c r="D84" s="10" t="inlineStr">
        <is>
          <t xml:space="preserve">V</t>
        </is>
      </c>
    </row>
    <row r="85">
      <c r="B85" s="10" t="inlineStr">
        <is>
          <t xml:space="preserve">V.drv max: driver range and the MOSFET V.gs rating</t>
        </is>
      </c>
      <c r="C85" s="87">
        <f>MIN('Power Components'!$D$96,'Power Components'!$D$83)</f>
      </c>
      <c r="D85" s="10" t="inlineStr">
        <is>
          <t xml:space="preserve">V</t>
        </is>
      </c>
    </row>
    <row r="86">
      <c r="B86" s="10" t="inlineStr">
        <is>
          <t xml:space="preserve">Highest bus: sqrt(2) x VAC.max</t>
        </is>
      </c>
      <c r="C86" s="87">
        <f>SQRT(2)*'Design Spec'!$D$14</f>
      </c>
      <c r="D86" s="10" t="inlineStr">
        <is>
          <t xml:space="preserve">V</t>
        </is>
      </c>
    </row>
    <row r="87">
      <c r="B87" s="10" t="inlineStr">
        <is>
          <t xml:space="preserve">Gate capacitance per position: n.par x C.g + C.gs</t>
        </is>
      </c>
      <c r="C87" s="87">
        <f>'Power Components'!$D$68*'Power Components'!$D$76+'Power Components'!$F$133</f>
      </c>
      <c r="D87" s="10" t="inlineStr">
        <is>
          <t xml:space="preserve">nF</t>
        </is>
      </c>
    </row>
    <row r="88">
      <c r="B88" s="10" t="inlineStr">
        <is>
          <t xml:space="preserve">Internal gate resistance per position</t>
        </is>
      </c>
      <c r="C88" s="87">
        <f>'Power Components'!$D$78/'Power Components'!$D$68</f>
      </c>
      <c r="D88" s="10" t="inlineStr">
        <is>
          <t xml:space="preserve">Ω</t>
        </is>
      </c>
    </row>
    <row r="89">
      <c r="B89" s="10" t="inlineStr">
        <is>
          <t xml:space="preserve">Turn-off path resistance</t>
        </is>
      </c>
      <c r="C89" s="87">
        <f>IF('Power Components'!$D$118=0,'Power Components'!$F$130,IF('Power Components'!$F$130&gt;0,'Power Components'!$F$130*'Power Components'!$F$127/('Power Components'!$F$130+'Power Components'!$F$127),'Power Components'!$F$127))</f>
      </c>
      <c r="D89" s="10" t="inlineStr">
        <is>
          <t xml:space="preserve">Ω</t>
        </is>
      </c>
    </row>
    <row r="90">
      <c r="B90" s="10" t="inlineStr">
        <is>
          <t xml:space="preserve">Turn-off path offset (D.off)</t>
        </is>
      </c>
      <c r="C90" s="87">
        <f>IF(AND('Power Components'!$D$118&gt;0,'Power Components'!$F$130&gt;0),'Power Components'!$D$118*'Power Components'!$F$127/('Power Components'!$F$130+'Power Components'!$F$127),0)</f>
      </c>
      <c r="D90" s="10" t="inlineStr">
        <is>
          <t xml:space="preserve">V</t>
        </is>
      </c>
    </row>
    <row r="91">
      <c r="B91" s="10" t="inlineStr">
        <is>
          <t xml:space="preserve">τ.on = (R.so + R.on + R.gi) C.G</t>
        </is>
      </c>
      <c r="C91" s="87">
        <f>(C81+'Power Components'!$F$127+C88)*C87</f>
      </c>
      <c r="D91" s="10" t="inlineStr">
        <is>
          <t xml:space="preserve">ns</t>
        </is>
      </c>
    </row>
    <row r="92">
      <c r="B92" s="10" t="inlineStr">
        <is>
          <t xml:space="preserve">τ.off = (R.si + R.off.eff + R.gi) C.G</t>
        </is>
      </c>
      <c r="C92" s="87">
        <f>(C82+C89+C88)*C87</f>
      </c>
      <c r="D92" s="10" t="inlineStr">
        <is>
          <t xml:space="preserve">ns</t>
        </is>
      </c>
    </row>
    <row r="93">
      <c r="B93" s="10" t="inlineStr">
        <is>
          <t xml:space="preserve">Start-up pulse T/2 - max(t.D.su, t.DT) (also the first LOUT pulse)</t>
        </is>
      </c>
      <c r="C93" s="87">
        <f>10^6/(2*'Device Setting'!$D$29)-MAX(C78,'Power Components'!$D$99)</f>
      </c>
      <c r="D93" s="10" t="inlineStr">
        <is>
          <t xml:space="preserve">ns</t>
        </is>
      </c>
    </row>
    <row r="94">
      <c r="B94" s="10" t="inlineStr">
        <is>
          <t xml:space="preserve">Pulse at f.Max: T/2 - t.D</t>
        </is>
      </c>
      <c r="C94" s="87">
        <f>10^6/(2*'Device Setting'!$D$27)-MAX('Design Spec'!$D$47,'Power Components'!$D$99)</f>
      </c>
      <c r="D94" s="10" t="inlineStr">
        <is>
          <t xml:space="preserve">ns</t>
        </is>
      </c>
    </row>
    <row r="95">
      <c r="B95" s="10" t="inlineStr">
        <is>
          <t xml:space="preserve">Gate voltage at the end of the start-up pulse</t>
        </is>
      </c>
      <c r="C95" s="87">
        <f>C83*(1-EXP(-C93/C91))</f>
      </c>
      <c r="D95" s="10" t="inlineStr">
        <is>
          <t xml:space="preserve">V</t>
        </is>
      </c>
    </row>
    <row r="96">
      <c r="B96" s="10" t="inlineStr">
        <is>
          <t xml:space="preserve">Gate voltage at the end of the f.Max pulse</t>
        </is>
      </c>
      <c r="C96" s="87">
        <f>C83*(1-EXP(-C94/C91))</f>
      </c>
      <c r="D96" s="10" t="inlineStr">
        <is>
          <t xml:space="preserve">V</t>
        </is>
      </c>
    </row>
    <row r="97">
      <c r="B97" s="10" t="inlineStr">
        <is>
          <t xml:space="preserve">Energy per turn-on at f.Max</t>
        </is>
      </c>
      <c r="C97" s="87">
        <f>C87*C96*(C83-C96/2)</f>
      </c>
      <c r="D97" s="10" t="inlineStr">
        <is>
          <t xml:space="preserve">nJ</t>
        </is>
      </c>
    </row>
    <row r="98">
      <c r="B98" s="10" t="inlineStr">
        <is>
          <t xml:space="preserve">Energy per turn-off at f.Max</t>
        </is>
      </c>
      <c r="C98" s="87">
        <f>C87*C96^2/2</f>
      </c>
      <c r="D98" s="10" t="inlineStr">
        <is>
          <t xml:space="preserve">nJ</t>
        </is>
      </c>
    </row>
    <row r="99">
      <c r="B99" s="10" t="inlineStr">
        <is>
          <t xml:space="preserve">Driver share of the turn-on energy</t>
        </is>
      </c>
      <c r="C99" s="87">
        <f>C81/(C81+'Power Components'!$F$127+C88)</f>
      </c>
      <c r="D99" s="10" t="inlineStr">
        <is>
          <t xml:space="preserve">-</t>
        </is>
      </c>
    </row>
    <row r="100">
      <c r="B100" s="10" t="inlineStr">
        <is>
          <t xml:space="preserve">Driver share of the turn-off energy</t>
        </is>
      </c>
      <c r="C100" s="87">
        <f>C82/(C82+C89+C88)</f>
      </c>
      <c r="D100" s="10" t="inlineStr">
        <is>
          <t xml:space="preserve">-</t>
        </is>
      </c>
    </row>
    <row r="101">
      <c r="B101" s="10" t="inlineStr">
        <is>
          <t xml:space="preserve">Driver power at f.Max, both positions + quiescent</t>
        </is>
      </c>
      <c r="C101" s="87">
        <f>2*(C97*C99+C98*C100)*'Device Setting'!$D$27*10^-6+'Power Components'!$D$101*C83/1000</f>
      </c>
      <c r="D101" s="10" t="inlineStr">
        <is>
          <t xml:space="preserve">W</t>
        </is>
      </c>
    </row>
    <row r="102">
      <c r="B102" s="10" t="inlineStr">
        <is>
          <t xml:space="preserve">Driver power allowed: (Tj.max - Ta.drv) / Rth</t>
        </is>
      </c>
      <c r="C102" s="87">
        <f>('Power Components'!$D$103-'Power Components'!$D$108)/'Power Components'!$D$102</f>
      </c>
      <c r="D102" s="10" t="inlineStr">
        <is>
          <t xml:space="preserve">W</t>
        </is>
      </c>
    </row>
    <row r="103">
      <c r="B103" s="10" t="inlineStr">
        <is>
          <t xml:space="preserve">Driver gate-power budget: allowed - quiescent</t>
        </is>
      </c>
      <c r="C103" s="87">
        <f>C102-'Power Components'!$D$101*C83/1000</f>
      </c>
      <c r="D103" s="10" t="inlineStr">
        <is>
          <t xml:space="preserve">W</t>
        </is>
      </c>
    </row>
    <row r="104">
      <c r="B104" s="10" t="inlineStr">
        <is>
          <t xml:space="preserve">Turn-on share the budget allows</t>
        </is>
      </c>
      <c r="C104" s="87">
        <f>(C103-2*C98*C100*'Device Setting'!$D$27*10^-6)/(2*C97*'Device Setting'!$D$27*10^-6)</f>
      </c>
      <c r="D104" s="10" t="inlineStr">
        <is>
          <t xml:space="preserve">-</t>
        </is>
      </c>
    </row>
    <row r="105">
      <c r="B105" s="10" t="inlineStr">
        <is>
          <t xml:space="preserve">R.on min for the driver temperature</t>
        </is>
      </c>
      <c r="C105" s="87">
        <f>IF(C104&lt;=0,"lower V.drv",MAX(0,C81/C104-C81-C88))</f>
      </c>
      <c r="D105" s="10" t="inlineStr">
        <is>
          <t xml:space="preserve">Ω</t>
        </is>
      </c>
    </row>
    <row r="106">
      <c r="B106" s="10" t="inlineStr">
        <is>
          <t xml:space="preserve">R.on min for the driver source current: V.drv / I.so - R.so - R.gi</t>
        </is>
      </c>
      <c r="C106" s="87">
        <f>MAX(0,C83/'Power Components'!$D$92-C81-C88)</f>
      </c>
      <c r="D106" s="10" t="inlineStr">
        <is>
          <t xml:space="preserve">Ω</t>
        </is>
      </c>
    </row>
    <row r="107">
      <c r="B107" s="10" t="inlineStr">
        <is>
          <t xml:space="preserve">R.on min for a non-ringing gate loop: 2 sqrt(L.loop / C.G) - R.so - R.gi</t>
        </is>
      </c>
      <c r="C107" s="87">
        <f>MAX(0,2*SQRT('Power Components'!$D$109/C87)-C81-C88)</f>
      </c>
      <c r="D107" s="10" t="inlineStr">
        <is>
          <t xml:space="preserve">Ω</t>
        </is>
      </c>
    </row>
    <row r="108">
      <c r="B108" s="10" t="inlineStr">
        <is>
          <t xml:space="preserve">R.on min: the largest of the three</t>
        </is>
      </c>
      <c r="C108" s="87">
        <f>IF(ISNUMBER(C105),MAX(C105,C106,C107),C105)</f>
      </c>
      <c r="D108" s="10" t="inlineStr">
        <is>
          <t xml:space="preserve">Ω</t>
        </is>
      </c>
    </row>
    <row r="109">
      <c r="B109" s="10" t="inlineStr">
        <is>
          <t xml:space="preserve">R.on max: the gate reaches 10 V within the shorter pulse (start-up, f.Max)</t>
        </is>
      </c>
      <c r="C109" s="87">
        <f>IF(C83&gt;10,MIN(C93,C94)/(C87*LN(C83/(C83-10)))-C81-C88,0)</f>
      </c>
      <c r="D109" s="10" t="inlineStr">
        <is>
          <t xml:space="preserve">Ω</t>
        </is>
      </c>
    </row>
    <row r="110">
      <c r="B110" s="10" t="inlineStr">
        <is>
          <t xml:space="preserve">C.gs max: the gate still reaches 10 V within that pulse with the selected R.on</t>
        </is>
      </c>
      <c r="C110" s="87">
        <f>IF(C83&gt;10,MAX(0,MIN(C93,C94)/((C81+'Power Components'!$F$127+C88)*LN(C83/(C83-10)))-'Power Components'!$D$68*'Power Components'!$D$76),0)</f>
      </c>
      <c r="D110" s="10" t="inlineStr">
        <is>
          <t xml:space="preserve">nF</t>
        </is>
      </c>
    </row>
    <row r="111">
      <c r="B111" s="10" t="inlineStr">
        <is>
          <t xml:space="preserve">R.on recommended: the log middle of min .. max, E12 below</t>
        </is>
      </c>
      <c r="C111" s="87">
        <f>IF(ISNUMBER(C108),IF((SQRT(MAX(C108,1)*MAX(C109,1)))&lt;=0,0,10^INT(LOG10((SQRT(MAX(C108,1)*MAX(C109,1)))*1.000001))*LOOKUP((SQRT(MAX(C108,1)*MAX(C109,1)))*1.000001/10^INT(LOG10((SQRT(MAX(C108,1)*MAX(C109,1)))*1.000001)),{1,1.2,1.5,1.8,2.2,2.7,3.3,3.9,4.7,5.6,6.8,8.2})),C108)</f>
      </c>
      <c r="D111" s="10" t="inlineStr">
        <is>
          <t xml:space="preserve">Ω</t>
        </is>
      </c>
    </row>
    <row r="112">
      <c r="B112" s="10" t="inlineStr">
        <is>
          <t xml:space="preserve">Midpoint swing in run: c.HB V.bus,max / I.Lm.pk</t>
        </is>
      </c>
      <c r="C112" s="87">
        <f>'Design Spec'!$D$46*SQRT(2)*'Design Spec'!$D$14/'Res. Tank Design'!$D$73/1000</f>
      </c>
      <c r="D112" s="10" t="inlineStr">
        <is>
          <t xml:space="preserve">ns</t>
        </is>
      </c>
    </row>
    <row r="113">
      <c r="B113" s="10" t="inlineStr">
        <is>
          <t xml:space="preserve">Midpoint swing at start-up: c.HB V.bus,FB / I.su</t>
        </is>
      </c>
      <c r="C113" s="87">
        <f>'Design Spec'!$D$46*C80/'Res. Tank Design'!$D$84/1000</f>
      </c>
      <c r="D113" s="10" t="inlineStr">
        <is>
          <t xml:space="preserve">ns</t>
        </is>
      </c>
    </row>
    <row r="114">
      <c r="B114" s="10" t="inlineStr">
        <is>
          <t xml:space="preserve">Miller current into an off gate during the faster swing</t>
        </is>
      </c>
      <c r="C114" s="87">
        <f>'Power Components'!$D$68*'Power Components'!$D$82/MIN(C112,C113)</f>
      </c>
      <c r="D114" s="10" t="inlineStr">
        <is>
          <t xml:space="preserve">A</t>
        </is>
      </c>
    </row>
    <row r="115">
      <c r="B115" s="10" t="inlineStr">
        <is>
          <t xml:space="preserve">Gate kick, resistive estimate: i.M x sink path</t>
        </is>
      </c>
      <c r="C115" s="87">
        <f>C114*(C82+C89+C88)</f>
      </c>
      <c r="D115" s="10" t="inlineStr">
        <is>
          <t xml:space="preserve">V</t>
        </is>
      </c>
    </row>
    <row r="116">
      <c r="B116" s="10" t="inlineStr">
        <is>
          <t xml:space="preserve">Gate kick, capacitive bound: Q.gd / (C.gs + C.gs option)</t>
        </is>
      </c>
      <c r="C116" s="87">
        <f>'Power Components'!$D$68*'Power Components'!$D$82/('Power Components'!$D$68*'Power Components'!$D$77+'Power Components'!$F$133)</f>
      </c>
      <c r="D116" s="10" t="inlineStr">
        <is>
          <t xml:space="preserve">V</t>
        </is>
      </c>
    </row>
    <row r="117">
      <c r="B117" s="10" t="inlineStr">
        <is>
          <t xml:space="preserve">k.Miller = V.th min / the smaller kick</t>
        </is>
      </c>
      <c r="C117" s="87">
        <f>'Power Components'!$D$81/MIN(C115,C116)</f>
      </c>
      <c r="D117" s="10" t="inlineStr">
        <is>
          <t xml:space="preserve">-</t>
        </is>
      </c>
    </row>
    <row r="118">
      <c r="B118" s="10" t="inlineStr">
        <is>
          <t xml:space="preserve">C.gs needed (0 if the gate holds without it)</t>
        </is>
      </c>
      <c r="C118" s="87">
        <f>IF(MIN(C115,C116)&lt;='Power Components'!$D$81,0,MAX(0,'Power Components'!$D$68*('Power Components'!$D$82/'Power Components'!$D$81-'Power Components'!$D$77)))</f>
      </c>
      <c r="D118" s="10" t="inlineStr">
        <is>
          <t xml:space="preserve">nF</t>
        </is>
      </c>
    </row>
    <row r="119">
      <c r="B119" s="10" t="inlineStr">
        <is>
          <t xml:space="preserve">C.gs suggested: E6 above the need</t>
        </is>
      </c>
      <c r="C119" s="87">
        <f>IF(C118=0,0,IF((C118)&lt;=0,0,-10^INT(LOG10((C118)*0.999999))*LOOKUP(-(C118)*0.999999/10^INT(LOG10((C118)*0.999999)),{-10,-6.8,-4.7,-3.3,-2.2,-1.5,-1})))</f>
      </c>
      <c r="D119" s="10" t="inlineStr">
        <is>
          <t xml:space="preserve">nF</t>
        </is>
      </c>
    </row>
    <row r="120">
      <c r="B120" s="10" t="inlineStr">
        <is>
          <t xml:space="preserve">t.on: IC edge -&gt; V.th</t>
        </is>
      </c>
      <c r="C120" s="87">
        <f>'Power Components'!$D$97+C91*LN(C83/(C83-'Power Components'!$D$80))</f>
      </c>
      <c r="D120" s="10" t="inlineStr">
        <is>
          <t xml:space="preserve">ns</t>
        </is>
      </c>
    </row>
    <row r="121">
      <c r="B121" s="10" t="inlineStr">
        <is>
          <t xml:space="preserve">IC edge -&gt; plateau on the way up</t>
        </is>
      </c>
      <c r="C121" s="87">
        <f>'Power Components'!$D$97+C91*LN(C83/(C83-'Power Components'!$D$79))</f>
      </c>
      <c r="D121" s="10" t="inlineStr">
        <is>
          <t xml:space="preserve">ns</t>
        </is>
      </c>
    </row>
    <row r="122">
      <c r="B122" s="10" t="inlineStr">
        <is>
          <t xml:space="preserve">t.off: IC edge -&gt; below V.th min</t>
        </is>
      </c>
      <c r="C122" s="87">
        <f>IF('Power Components'!$D$81&gt;C90,'Power Components'!$D$97+C92*LN((C83-C90)/('Power Components'!$D$81-C90)),"never")</f>
      </c>
      <c r="D122" s="10" t="inlineStr">
        <is>
          <t xml:space="preserve">ns</t>
        </is>
      </c>
    </row>
    <row r="123">
      <c r="B123" s="10" t="inlineStr">
        <is>
          <t xml:space="preserve">IC edge -&gt; plateau on the way down</t>
        </is>
      </c>
      <c r="C123" s="87">
        <f>'Power Components'!$D$97+C92*LN((C83-C90)/('Power Components'!$D$79-C90))</f>
      </c>
      <c r="D123" s="10" t="inlineStr">
        <is>
          <t xml:space="preserve">ns</t>
        </is>
      </c>
    </row>
    <row r="124">
      <c r="B124" s="10" t="inlineStr">
        <is>
          <t xml:space="preserve">t.D.need = (t.off.pl - t.pd) + swing - (t.on - t.pd) + MT</t>
        </is>
      </c>
      <c r="C124" s="87">
        <f>C123-C120+C112+'Power Components'!$D$98</f>
      </c>
      <c r="D124" s="10" t="inlineStr">
        <is>
          <t xml:space="preserve">ns</t>
        </is>
      </c>
    </row>
    <row r="125">
      <c r="B125" s="10" t="inlineStr">
        <is>
          <t xml:space="preserve">t.D.max = T/4 at f.Max + (t.off.pl - t.on.pl) - MT: on at the plateau before the reversal</t>
        </is>
      </c>
      <c r="C125" s="87">
        <f>10^6/(4*'Device Setting'!$D$27)+C123-C121-'Power Components'!$D$98</f>
      </c>
      <c r="D125" s="10" t="inlineStr">
        <is>
          <t xml:space="preserve">ns</t>
        </is>
      </c>
    </row>
    <row r="126">
      <c r="B126" s="10" t="inlineStr">
        <is>
          <t xml:space="preserve">k.tD = min(max(420, t.DT) / need, t.D.max / max(need, t.DT))</t>
        </is>
      </c>
      <c r="C126" s="87">
        <f>MIN(MAX(420,'Power Components'!$D$99)/C124,C125/MAX(C124,'Power Components'!$D$99))</f>
      </c>
      <c r="D126" s="10" t="inlineStr">
        <is>
          <t xml:space="preserve">-</t>
        </is>
      </c>
    </row>
    <row r="127">
      <c r="B127" s="10" t="inlineStr">
        <is>
          <t xml:space="preserve">Start-up edge current, HB on V.bus.max / 2</t>
        </is>
      </c>
      <c r="C127" s="87">
        <f>(C86/2)/'Res. Tank Design'!$D$52*TAN(PI()*'Res. Tank Design'!$D$55/(2*'Device Setting'!$D$29))</f>
      </c>
      <c r="D127" s="10" t="inlineStr">
        <is>
          <t xml:space="preserve">A</t>
        </is>
      </c>
    </row>
    <row r="128">
      <c r="B128" s="10" t="inlineStr">
        <is>
          <t xml:space="preserve">Midpoint swing at start-up, HB: c.HB V.bus.max / I.su.HB</t>
        </is>
      </c>
      <c r="C128" s="87">
        <f>'Design Spec'!$D$46*C86/C127/1000</f>
      </c>
      <c r="D128" s="10" t="inlineStr">
        <is>
          <t xml:space="preserve">ns</t>
        </is>
      </c>
    </row>
    <row r="129">
      <c r="B129" s="10" t="inlineStr">
        <is>
          <t xml:space="preserve">Turn-off delay to the plateau from V.g.su (no t.pd)</t>
        </is>
      </c>
      <c r="C129" s="87">
        <f>C92*LN((C95-C90)/('Power Components'!$D$79-C90))</f>
      </c>
      <c r="D129" s="10" t="inlineStr">
        <is>
          <t xml:space="preserve">ns</t>
        </is>
      </c>
    </row>
    <row r="130">
      <c r="B130" s="10" t="inlineStr">
        <is>
          <t xml:space="preserve">t.D.su.min = t.off.su + max(T.T.su FB, HB) - (t.on - t.pd) + MT</t>
        </is>
      </c>
      <c r="C130" s="87">
        <f>C129+MAX(C113,C128)-(C120-'Power Components'!$D$97)+'Power Components'!$D$98</f>
      </c>
      <c r="D130" s="10" t="inlineStr">
        <is>
          <t xml:space="preserve">ns</t>
        </is>
      </c>
    </row>
    <row r="131">
      <c r="B131" s="10" t="inlineStr">
        <is>
          <t xml:space="preserve">t.D.su.max = t.off.su + T/4 at f.SU - (t.on.pl - t.pd) - MT</t>
        </is>
      </c>
      <c r="C131" s="87">
        <f>C129+10^6/(4*'Device Setting'!$D$29)-(C121-'Power Components'!$D$97)-'Power Components'!$D$98</f>
      </c>
      <c r="D131" s="10" t="inlineStr">
        <is>
          <t xml:space="preserve">ns</t>
        </is>
      </c>
    </row>
    <row r="132">
      <c r="B132" s="10" t="inlineStr">
        <is>
          <t xml:space="preserve">Start-up dead time in force: max(IC 420 ns assumed, driver t.DT)</t>
        </is>
      </c>
      <c r="C132" s="87">
        <f>MAX(C78,'Power Components'!$D$99)</f>
      </c>
      <c r="D132" s="10" t="inlineStr">
        <is>
          <t xml:space="preserve">ns</t>
        </is>
      </c>
    </row>
    <row r="133">
      <c r="B133" s="10" t="inlineStr">
        <is>
          <t xml:space="preserve">k.tD.su = min(t.D.su / t.D.su.min, t.D.su.max / t.D.su)</t>
        </is>
      </c>
      <c r="C133" s="87">
        <f>MIN(C132/C130,C131/C132)</f>
      </c>
      <c r="D133" s="10" t="inlineStr">
        <is>
          <t xml:space="preserve">-</t>
        </is>
      </c>
    </row>
    <row r="134">
      <c r="B134" s="10" t="inlineStr">
        <is>
          <t xml:space="preserve">Midpoint dv/dt at start-up: max(I.su FB, HB) / c.HB</t>
        </is>
      </c>
      <c r="C134" s="87">
        <f>MAX('Res. Tank Design'!$D$84,C127)/'Design Spec'!$D$46*1000</f>
      </c>
      <c r="D134" s="10" t="inlineStr">
        <is>
          <t xml:space="preserve">V/ns</t>
        </is>
      </c>
    </row>
    <row r="135">
      <c r="B135" s="10" t="inlineStr">
        <is>
          <t xml:space="preserve">k.drv = min(dV/dt.max / dv/dt.su, V.hs.max / V.bus.max, 4 V / V.IH.max)</t>
        </is>
      </c>
      <c r="C135" s="87">
        <f>MIN('Power Components'!$D$105/C134,'Power Components'!$D$106/C86,4/'Power Components'!$D$107)</f>
      </c>
      <c r="D135" s="10" t="inlineStr">
        <is>
          <t xml:space="preserve">-</t>
        </is>
      </c>
    </row>
    <row r="136">
      <c r="B136" s="10" t="inlineStr">
        <is>
          <t xml:space="preserve">Turn-off path that holds the gate below V.th min against the Miller current</t>
        </is>
      </c>
      <c r="C136" s="87">
        <f>'Power Components'!$D$81/C114-C82-C88</f>
      </c>
      <c r="D136" s="10" t="inlineStr">
        <is>
          <t xml:space="preserve">Ω</t>
        </is>
      </c>
    </row>
    <row r="137">
      <c r="B137" s="10" t="inlineStr">
        <is>
          <t xml:space="preserve">Turn-off path that has the gate below V.th min before the other side reaches V.th min (t.D + its delay)</t>
        </is>
      </c>
      <c r="C137" s="87">
        <f>(MAX('Design Spec'!$D$47,'Power Components'!$D$99)+C91*LN(C83/(C83-'Power Components'!$D$81)))/(LN((C83-C90)/('Power Components'!$D$81-C90))*C87)-C82-C88</f>
      </c>
      <c r="D137" s="10" t="inlineStr">
        <is>
          <t xml:space="preserve">Ω</t>
        </is>
      </c>
    </row>
    <row r="138">
      <c r="B138" s="10" t="inlineStr">
        <is>
          <t xml:space="preserve">Turn-off path that lets the channel go (V.pl -&gt; V.th) within the run swing T.T.run</t>
        </is>
      </c>
      <c r="C138" s="87">
        <f>C112/(LN(('Power Components'!$D$79-C90)/('Power Components'!$D$80-C90))*C87)-C82-C88</f>
      </c>
      <c r="D138" s="10" t="inlineStr">
        <is>
          <t xml:space="preserve">Ω</t>
        </is>
      </c>
    </row>
    <row r="139">
      <c r="B139" s="10" t="inlineStr">
        <is>
          <t xml:space="preserve">Turn-off path max: overlap and soft turn-off, and Miller unless C.gs alone holds</t>
        </is>
      </c>
      <c r="C139" s="87">
        <f>MIN(C137,C138,IF(C116&lt;='Power Components'!$D$81,1E+9,C136))</f>
      </c>
      <c r="D139" s="10" t="inlineStr">
        <is>
          <t xml:space="preserve">Ω</t>
        </is>
      </c>
    </row>
    <row r="140">
      <c r="B140" s="10" t="inlineStr">
        <is>
          <t xml:space="preserve">R.off that brings the path to half its max (in parallel with R.on unless V.F = 0)</t>
        </is>
      </c>
      <c r="C140" s="87">
        <f>IF('Power Components'!$D$118=0,C139/2,IF(C139/2&gt;='Power Components'!$F$127,1E+9,1/(2/C139-1/'Power Components'!$F$127)))</f>
      </c>
      <c r="D140" s="10" t="inlineStr">
        <is>
          <t xml:space="preserve">Ω</t>
        </is>
      </c>
    </row>
    <row r="141">
      <c r="B141" s="10" t="inlineStr">
        <is>
          <t xml:space="preserve">R.off suggested: GOFF - half the max; with D.off - min(R.on / 2, that need), E12 below</t>
        </is>
      </c>
      <c r="C141" s="87">
        <f>IF(C139&lt;=0,0,IF((IF('Power Components'!$D$118=0,C140,MIN('Power Components'!$F$127/2,C140)))&lt;=0,0,10^INT(LOG10((IF('Power Components'!$D$118=0,C140,MIN('Power Components'!$F$127/2,C140)))*1.000001))*LOOKUP((IF('Power Components'!$D$118=0,C140,MIN('Power Components'!$F$127/2,C140)))*1.000001/10^INT(LOG10((IF('Power Components'!$D$118=0,C140,MIN('Power Components'!$F$127/2,C140)))*1.000001)),{1,1.2,1.5,1.8,2.2,2.7,3.3,3.9,4.7,5.6,6.8,8.2})))</f>
      </c>
      <c r="D141" s="10" t="inlineStr">
        <is>
          <t xml:space="preserve">Ω</t>
        </is>
      </c>
    </row>
    <row r="142">
      <c r="B142" s="10" t="inlineStr">
        <is>
          <t xml:space="preserve">Peak gate current, turn-on: V.drv / (R.so + R.on + R.gi)</t>
        </is>
      </c>
      <c r="C142" s="87">
        <f>C83/(C81+'Power Components'!$F$127+C88)</f>
      </c>
      <c r="D142" s="10" t="inlineStr">
        <is>
          <t xml:space="preserve">A</t>
        </is>
      </c>
    </row>
    <row r="143">
      <c r="B143" s="10" t="inlineStr">
        <is>
          <t xml:space="preserve">Peak gate current, turn-off: (V.drv - V.off.eff) / (R.si + R.off.eff + R.gi)</t>
        </is>
      </c>
      <c r="C143" s="87">
        <f>(C83-C90)/(C82+C89+C88)</f>
      </c>
      <c r="D143" s="10" t="inlineStr">
        <is>
          <t xml:space="preserve">A</t>
        </is>
      </c>
    </row>
    <row r="144">
      <c r="B144" s="10" t="inlineStr">
        <is>
          <t xml:space="preserve">k.IG = min(I.so / I.on, I.si / I.off)</t>
        </is>
      </c>
      <c r="C144" s="87">
        <f>MIN('Power Components'!$D$92/C142,'Power Components'!$D$93/C143)</f>
      </c>
      <c r="D144" s="10" t="inlineStr">
        <is>
          <t xml:space="preserve">-</t>
        </is>
      </c>
    </row>
    <row r="145">
      <c r="B145" s="10" t="inlineStr">
        <is>
          <t xml:space="preserve">D.off peak current: (V.drv - V.F) / (R.si + R.off + R.gi), upper bound</t>
        </is>
      </c>
      <c r="C145" s="87">
        <f>IF('Power Components'!$D$118=0,0,(C83-'Power Components'!$D$118)/(C82+'Power Components'!$F$130+C88))</f>
      </c>
      <c r="D145" s="10" t="inlineStr">
        <is>
          <t xml:space="preserve">A</t>
        </is>
      </c>
    </row>
    <row r="146">
      <c r="B146" s="10" t="inlineStr">
        <is>
          <t xml:space="preserve">D.off average current at f.Max: C.G V.g f x R.on / (R.on + R.off)</t>
        </is>
      </c>
      <c r="C146" s="87">
        <f>IF('Power Components'!$D$118=0,0,C87*C96*'Device Setting'!$D$27*'Power Components'!$F$127/('Power Components'!$F$127+'Power Components'!$F$130)/1000)</f>
      </c>
      <c r="D146" s="10" t="inlineStr">
        <is>
          <t xml:space="preserve">mA</t>
        </is>
      </c>
    </row>
    <row r="147">
      <c r="B147" s="10" t="inlineStr">
        <is>
          <t xml:space="preserve">k.D.off = min(I.FSM / I.off.pk, I.F / I.off.avg)</t>
        </is>
      </c>
      <c r="C147" s="87">
        <f>IF('Power Components'!$D$118=0,"-",MIN('Power Components'!$D$120/C145,'Power Components'!$D$119*1000/C146))</f>
      </c>
      <c r="D147" s="10" t="inlineStr">
        <is>
          <t xml:space="preserve">-</t>
        </is>
      </c>
    </row>
    <row r="148">
      <c r="B148" s="10" t="inlineStr">
        <is>
          <t xml:space="preserve">R.off min: sink current and D.off surge (V.drv - V.F) / min(I.si, I.FSM), and loop damping 2 sqrt(L / C.G), less R.si + R.gi</t>
        </is>
      </c>
      <c r="C148" s="87">
        <f>MAX(0,(C83-'Power Components'!$D$118)/IF('Power Components'!$D$118=0,'Power Components'!$D$93,MIN('Power Components'!$D$93,'Power Components'!$D$120))-C82-C88,2*SQRT('Power Components'!$D$109/C87)-C82-C88)</f>
      </c>
      <c r="D148" s="10" t="inlineStr">
        <is>
          <t xml:space="preserve">Ω</t>
        </is>
      </c>
    </row>
    <row r="149">
      <c r="B149" s="10" t="inlineStr">
        <is>
          <t xml:space="preserve">C.boot min: 10 x C.G</t>
        </is>
      </c>
      <c r="C149" s="87">
        <f>10*C87</f>
      </c>
      <c r="D149" s="10" t="inlineStr">
        <is>
          <t xml:space="preserve">nF</t>
        </is>
      </c>
    </row>
    <row r="150">
      <c r="B150" s="10" t="inlineStr">
        <is>
          <t xml:space="preserve">C.boot max: the first LOUT pulse still charges it to V.bo.min (with R.boot)</t>
        </is>
      </c>
      <c r="C150" s="87">
        <f>IF(C83-'Power Components'!$D$112&gt;'Power Components'!$D$104,C93/(MAX('Power Components'!$F$139,0.5)*LN((C83-'Power Components'!$D$112)/(C83-'Power Components'!$D$112-'Power Components'!$D$104))),0)</f>
      </c>
      <c r="D150" s="10" t="inlineStr">
        <is>
          <t xml:space="preserve">nF</t>
        </is>
      </c>
    </row>
    <row r="151">
      <c r="B151" s="10" t="inlineStr">
        <is>
          <t xml:space="preserve">C.boot recommended: E6 above the min</t>
        </is>
      </c>
      <c r="C151" s="87">
        <f>IF((C149)&lt;=0,0,-10^INT(LOG10((C149)*0.999999))*LOOKUP(-(C149)*0.999999/10^INT(LOG10((C149)*0.999999)),{-10,-6.8,-4.7,-3.3,-2.2,-1.5,-1}))</f>
      </c>
      <c r="D151" s="10" t="inlineStr">
        <is>
          <t xml:space="preserve">nF</t>
        </is>
      </c>
    </row>
    <row r="152">
      <c r="B152" s="10" t="inlineStr">
        <is>
          <t xml:space="preserve">τ.boot (a diode alone taken as 0.5 Ω)</t>
        </is>
      </c>
      <c r="C152" s="87">
        <f>MAX('Power Components'!$F$139,0.5)*'Power Components'!$F$136</f>
      </c>
      <c r="D152" s="10" t="inlineStr">
        <is>
          <t xml:space="preserve">ns</t>
        </is>
      </c>
    </row>
    <row r="153">
      <c r="B153" s="10" t="inlineStr">
        <is>
          <t xml:space="preserve">R.boot max: the first LOUT pulse reaches V.bo.min (with C.boot)</t>
        </is>
      </c>
      <c r="C153" s="87">
        <f>IF(C83-'Power Components'!$D$112&gt;'Power Components'!$D$104,C93/('Power Components'!$F$136*LN((C83-'Power Components'!$D$112)/(C83-'Power Components'!$D$112-'Power Components'!$D$104))),"V.drv too low")</f>
      </c>
      <c r="D153" s="10" t="inlineStr">
        <is>
          <t xml:space="preserve">Ω</t>
        </is>
      </c>
    </row>
    <row r="154">
      <c r="B154" s="10" t="inlineStr">
        <is>
          <t xml:space="preserve">R.boot suggested: half the max, E12 below</t>
        </is>
      </c>
      <c r="C154" s="87">
        <f>IF(ISNUMBER(C153),IF((C153/2)&lt;=0,0,10^INT(LOG10((C153/2)*1.000001))*LOOKUP((C153/2)*1.000001/10^INT(LOG10((C153/2)*1.000001)),{1,1.2,1.5,1.8,2.2,2.7,3.3,3.9,4.7,5.6,6.8,8.2})),0)</f>
      </c>
      <c r="D154" s="10" t="inlineStr">
        <is>
          <t xml:space="preserve">Ω</t>
        </is>
      </c>
    </row>
    <row r="155">
      <c r="B155" s="10" t="inlineStr">
        <is>
          <t xml:space="preserve">R.boot min: D.boot surge into an empty C.boot: (V.drv - V.F.boot) / I.FSM</t>
        </is>
      </c>
      <c r="C155" s="87">
        <f>MAX(0,(C83-'Power Components'!$D$112)/'Power Components'!$D$115)</f>
      </c>
      <c r="D155" s="10" t="inlineStr">
        <is>
          <t xml:space="preserve">Ω</t>
        </is>
      </c>
    </row>
    <row r="156">
      <c r="B156" s="10" t="inlineStr">
        <is>
          <t xml:space="preserve">D.boot peak current into an empty C.boot</t>
        </is>
      </c>
      <c r="C156" s="87">
        <f>(C83-'Power Components'!$D$112)/MAX('Power Components'!$F$139,0.5)</f>
      </c>
      <c r="D156" s="10" t="inlineStr">
        <is>
          <t xml:space="preserve">A</t>
        </is>
      </c>
    </row>
    <row r="157">
      <c r="B157" s="10" t="inlineStr">
        <is>
          <t xml:space="preserve">D.boot average current at f.Max: C.G V.g f + I.QBO</t>
        </is>
      </c>
      <c r="C157" s="87">
        <f>(C87*C96*'Device Setting'!$D$27/1000)+0.12</f>
      </c>
      <c r="D157" s="10" t="inlineStr">
        <is>
          <t xml:space="preserve">mA</t>
        </is>
      </c>
    </row>
    <row r="158">
      <c r="B158" s="10" t="inlineStr">
        <is>
          <t xml:space="preserve">D.boot reverse voltage: V.bus.max + V.drv</t>
        </is>
      </c>
      <c r="C158" s="87">
        <f>C86+C83</f>
      </c>
      <c r="D158" s="10" t="inlineStr">
        <is>
          <t xml:space="preserve">V</t>
        </is>
      </c>
    </row>
    <row r="159">
      <c r="B159" s="10" t="inlineStr">
        <is>
          <t xml:space="preserve">k.D.boot = min(V.RRM / need, I.FSM / I.boot.pk, I.F / I.boot.avg)</t>
        </is>
      </c>
      <c r="C159" s="87">
        <f>MIN('Power Components'!$D$113/C158,'Power Components'!$D$115/C156,'Power Components'!$D$114*1000/C157)</f>
      </c>
      <c r="D159" s="10" t="inlineStr">
        <is>
          <t xml:space="preserve">-</t>
        </is>
      </c>
    </row>
    <row r="160">
      <c r="B160" s="10" t="inlineStr">
        <is>
          <t xml:space="preserve">V.BS after the first LOUT pulse</t>
        </is>
      </c>
      <c r="C160" s="87">
        <f>(C83-'Power Components'!$D$112)*(1-EXP(-C93/C152))</f>
      </c>
      <c r="D160" s="10" t="inlineStr">
        <is>
          <t xml:space="preserve">V</t>
        </is>
      </c>
    </row>
    <row r="161">
      <c r="B161" s="10" t="inlineStr">
        <is>
          <t xml:space="preserve">V.BS drop per high-side pulse at f.SU (gate charge + floating quiescent 120 uA)</t>
        </is>
      </c>
      <c r="C161" s="87">
        <f>C87*C95/'Power Components'!$F$136+0.00012*C93/'Power Components'!$F$136</f>
      </c>
      <c r="D161" s="10" t="inlineStr">
        <is>
          <t xml:space="preserve">V</t>
        </is>
      </c>
    </row>
    <row r="162">
      <c r="B162" s="10" t="inlineStr">
        <is>
          <t xml:space="preserve">V.BS lowest, steady at f.SU</t>
        </is>
      </c>
      <c r="C162" s="87">
        <f>C83-'Power Components'!$D$112-C161*EXP(-C93/C152)/(1-EXP(-C93/C152))-C161</f>
      </c>
      <c r="D162" s="10" t="inlineStr">
        <is>
          <t xml:space="preserve">V</t>
        </is>
      </c>
    </row>
    <row r="163">
      <c r="B163" s="10" t="inlineStr">
        <is>
          <t xml:space="preserve">P.Ron at f.Max</t>
        </is>
      </c>
      <c r="C163" s="87">
        <f>(C97*'Power Components'!$F$127/(C81+'Power Components'!$F$127+C88)+IF('Power Components'!$D$118=0,0,C98*C89/(C82+C89+C88)*C89/'Power Components'!$F$127))*'Device Setting'!$D$27*10^-6</f>
      </c>
      <c r="D163" s="10" t="inlineStr">
        <is>
          <t xml:space="preserve">W</t>
        </is>
      </c>
    </row>
    <row r="164">
      <c r="B164" s="10" t="inlineStr">
        <is>
          <t xml:space="preserve">P.Roff at f.Max</t>
        </is>
      </c>
      <c r="C164" s="87">
        <f>IF('Power Components'!$F$130&gt;0,C98*C89/(C82+C89+C88)*IF('Power Components'!$D$118=0,1,C89/'Power Components'!$F$130)*'Device Setting'!$D$27*10^-6,0)</f>
      </c>
      <c r="D164" s="10" t="inlineStr">
        <is>
          <t xml:space="preserve">W</t>
        </is>
      </c>
    </row>
    <row r="165">
      <c r="B165" s="10" t="inlineStr">
        <is>
          <t xml:space="preserve">Driver junction at f.Max and Ta.drv</t>
        </is>
      </c>
      <c r="C165" s="87">
        <f>'Power Components'!$D$108+C101*'Power Components'!$D$102</f>
      </c>
      <c r="D165" s="10" t="inlineStr">
        <is>
          <t xml:space="preserve">˚C</t>
        </is>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