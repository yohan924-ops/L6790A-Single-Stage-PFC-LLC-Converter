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<sst xmlns="http://schemas.openxmlformats.org/spreadsheetml/2006/main" count="2127" uniqueCount="1232">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</sst>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62">
      <c r="B162" s="8" t="inlineStr">
        <is>
          <t xml:space="preserve">Device Setting</t>
        </is>
      </c>
      <c r="C162" s="8" t="inlineStr">
        <is>
          <t xml:space="preserve">D136:H136</t>
        </is>
      </c>
      <c r="D162" s="8" t="inlineStr">
        <is>
          <t xml:space="preserve"/>
        </is>
      </c>
      <c r="E162" s="8" t="inlineStr">
        <is>
          <t xml:space="preserve">composite peak per load column</t>
        </is>
      </c>
      <c r="F162" s="8" t="inlineStr">
        <is>
          <t xml:space="preserve">I.Lr.pk</t>
        </is>
      </c>
    </row>
    <row r="163">
      <c r="B163" s="8" t="inlineStr">
        <is>
          <t xml:space="preserve">Device Setting</t>
        </is>
      </c>
      <c r="C163" s="8" t="inlineStr">
        <is>
          <t xml:space="preserve">D140</t>
        </is>
      </c>
      <c r="D163" s="8" t="inlineStr">
        <is>
          <t xml:space="preserve"/>
        </is>
      </c>
      <c r="E163" s="8" t="inlineStr">
        <is>
          <t xml:space="preserve">magnetizing peak at f.Min</t>
        </is>
      </c>
      <c r="F163" s="8" t="inlineStr">
        <is>
          <t xml:space="preserve">I.lm.zc</t>
        </is>
      </c>
    </row>
    <row r="165">
      <c r="F165" s="8" t="inlineStr">
        <is>
          <t xml:space="preserve">c.HB corrected to 3329 pF, 2026-10-18 (user): C115/C117 2.2 nF are across each leg, bus to ground - they do not load the half-bridge midpoint. The 670 W book carries the same 3329 pF.</t>
        </is>
      </c>
    </row>
    <row r="166">
      <c r="B166" s="8" t="inlineStr">
        <is>
          <t xml:space="preserve">Design Spec</t>
        </is>
      </c>
      <c r="C166" s="8" t="inlineStr">
        <is>
          <t xml:space="preserve">D46</t>
        </is>
      </c>
      <c r="D166" s="8" t="inlineStr">
        <is>
          <t xml:space="preserve">5529</t>
        </is>
      </c>
      <c r="E166" s="8" t="inlineStr">
        <is>
          <t xml:space="preserve">3329</t>
        </is>
      </c>
      <c r="F166" s="8" t="inlineStr">
        <is>
          <t xml:space="preserve">c.HB, pF - 2 x Coss(tr) 897 pF x 400 / 245 V = 2929 + 100 layout + 2 x 150 drain-source (C127-C130). C115/C117 2.2 nF are across each leg (VBUS-PGND), not at the midpoint - the 5529 of 10-16 was that misread</t>
        </is>
      </c>
    </row>
    <row r="167">
      <c r="B167" s="8" t="inlineStr">
        <is>
          <t xml:space="preserve">Power Components</t>
        </is>
      </c>
      <c r="C167" s="8" t="inlineStr">
        <is>
          <t xml:space="preserve">D72</t>
        </is>
      </c>
      <c r="D167" s="8" t="inlineStr">
        <is>
          <t xml:space="preserve">2600</t>
        </is>
      </c>
      <c r="E167" s="8" t="inlineStr">
        <is>
          <t xml:space="preserve">400</t>
        </is>
      </c>
      <c r="F167" s="8" t="inlineStr">
        <is>
          <t xml:space="preserve">Cpar, pF - 100 layout + 2 x 150 drain-source; the leg capacitors do not count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