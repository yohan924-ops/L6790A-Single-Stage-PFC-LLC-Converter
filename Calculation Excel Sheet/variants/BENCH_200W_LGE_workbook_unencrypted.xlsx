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<sst xmlns="http://schemas.openxmlformats.org/spreadsheetml/2006/main" count="2127" uniqueCount="1232">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</sst>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77-134: the working (gate_budget.py model).</t>
        </is>
      </c>
    </row>
    <row r="170">
      <c r="B170" s="8" t="inlineStr">
        <is>
          <t xml:space="preserve">Power Components</t>
        </is>
      </c>
      <c r="C170" s="8" t="inlineStr">
        <is>
          <t xml:space="preserve">B76:E82</t>
        </is>
      </c>
      <c r="F170" s="8" t="inlineStr">
        <is>
          <t xml:space="preserve">switch gate data (yellow)</t>
        </is>
      </c>
    </row>
    <row r="171">
      <c r="B171" s="8" t="inlineStr">
        <is>
          <t xml:space="preserve">Power Components</t>
        </is>
      </c>
      <c r="C171" s="8" t="inlineStr">
        <is>
          <t xml:space="preserve">B88:G132</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B77:D134</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CC!$C$84</f>
      </c>
      <c r="E105" s="26" t="inlineStr">
        <is>
          <t xml:space="preserve">V</t>
        </is>
      </c>
    </row>
    <row r="106">
      <c r="B106" s="1" t="inlineStr">
        <is>
          <t xml:space="preserve">Minimum gate drive voltage (10 V at the high-side gate)</t>
        </is>
      </c>
      <c r="C106" s="1" t="inlineStr">
        <is>
          <t xml:space="preserve">V.drv.min</t>
        </is>
      </c>
      <c r="D106" s="49">
        <f>CC!$C$83</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18.0</v>
      </c>
    </row>
    <row r="108">
      <c r="B108" s="1" t="inlineStr">
        <is>
          <t xml:space="preserve">Maximum turn-on resistor (gate at 10 V within the start-up pulse)</t>
        </is>
      </c>
      <c r="C108" s="1" t="inlineStr">
        <is>
          <t xml:space="preserve">R.on.max</t>
        </is>
      </c>
      <c r="D108" s="49">
        <f>CC!$C$104</f>
      </c>
      <c r="E108" s="26" t="inlineStr">
        <is>
          <t xml:space="preserve">Ω</t>
        </is>
      </c>
    </row>
    <row r="109">
      <c r="B109" s="1" t="inlineStr">
        <is>
          <t xml:space="preserve">Minimum turn-on resistor (driver temperature)</t>
        </is>
      </c>
      <c r="C109" s="1" t="inlineStr">
        <is>
          <t xml:space="preserve">R.on.min</t>
        </is>
      </c>
      <c r="D109" s="49">
        <f>CC!$C$103</f>
      </c>
      <c r="E109" s="26" t="inlineStr">
        <is>
          <t xml:space="preserve">Ω</t>
        </is>
      </c>
    </row>
    <row r="110">
      <c r="B110" s="1" t="inlineStr">
        <is>
          <t xml:space="preserve">Select R.on between R.on.min and R.on.max (Value: E12)</t>
        </is>
      </c>
      <c r="C110" s="1" t="inlineStr">
        <is>
          <t xml:space="preserve">R.on</t>
        </is>
      </c>
      <c r="D110" s="49">
        <f>CC!$C$105</f>
      </c>
      <c r="E110" s="26" t="inlineStr">
        <is>
          <t xml:space="preserve">Ω</t>
        </is>
      </c>
      <c r="F110" s="2">
        <v>47.0</v>
      </c>
    </row>
    <row r="111">
      <c r="B111" s="1" t="inlineStr">
        <is>
          <t xml:space="preserve">Maximum turn-off resistor (with D.off, or on GOFF)</t>
        </is>
      </c>
      <c r="C111" s="1" t="inlineStr">
        <is>
          <t xml:space="preserve">R.off.max</t>
        </is>
      </c>
      <c r="D111" s="49">
        <f>CC!$C$123</f>
      </c>
      <c r="E111" s="26" t="inlineStr">
        <is>
          <t xml:space="preserve">Ω</t>
        </is>
      </c>
      <c r="F111" s="2">
        <v>10.0</v>
      </c>
    </row>
    <row r="112">
      <c r="B112" s="1" t="inlineStr">
        <is>
          <t xml:space="preserve">D.off forward voltage (0 = separate GOFF pin, no D.off)</t>
        </is>
      </c>
      <c r="C112" s="1" t="inlineStr">
        <is>
          <t xml:space="preserve">V.F</t>
        </is>
      </c>
      <c r="D112" s="49"/>
      <c r="E112" s="26" t="inlineStr">
        <is>
          <t xml:space="preserve">V</t>
        </is>
      </c>
      <c r="F112" s="2">
        <v>0.7</v>
      </c>
    </row>
    <row r="113">
      <c r="B113" s="1" t="inlineStr">
        <is>
          <t xml:space="preserve">Minimum gate-source capacitor (0 = none needed)</t>
        </is>
      </c>
      <c r="C113" s="1" t="inlineStr">
        <is>
          <t xml:space="preserve">C.gs.min</t>
        </is>
      </c>
      <c r="D113" s="49">
        <f>CC!$C$112</f>
      </c>
      <c r="E113" s="26" t="inlineStr">
        <is>
          <t xml:space="preserve">nF</t>
        </is>
      </c>
      <c r="F113" s="2">
        <v>0</v>
      </c>
    </row>
    <row r="114">
      <c r="B114" s="1" t="inlineStr">
        <is>
          <t xml:space="preserve">Maximum bootstrap capacitor (first LOUT pulse charges it to V.bo.min)</t>
        </is>
      </c>
      <c r="C114" s="1" t="inlineStr">
        <is>
          <t xml:space="preserve">C.boot.max</t>
        </is>
      </c>
      <c r="D114" s="49">
        <f>CC!$C$125</f>
      </c>
      <c r="E114" s="26" t="inlineStr">
        <is>
          <t xml:space="preserve">nF</t>
        </is>
      </c>
    </row>
    <row r="115">
      <c r="B115" s="1" t="inlineStr">
        <is>
          <t xml:space="preserve">Minimum bootstrap capacitor (10 x gate capacitance)</t>
        </is>
      </c>
      <c r="C115" s="1" t="inlineStr">
        <is>
          <t xml:space="preserve">C.boot.min</t>
        </is>
      </c>
      <c r="D115" s="49">
        <f>CC!$C$124</f>
      </c>
      <c r="E115" s="26" t="inlineStr">
        <is>
          <t xml:space="preserve">nF</t>
        </is>
      </c>
    </row>
    <row r="116">
      <c r="B116" s="1" t="inlineStr">
        <is>
          <t xml:space="preserve">Select C.boot between C.boot.min and C.boot.max (Value: E6)</t>
        </is>
      </c>
      <c r="C116" s="1" t="inlineStr">
        <is>
          <t xml:space="preserve">C.boot</t>
        </is>
      </c>
      <c r="D116" s="49">
        <f>CC!$C$126</f>
      </c>
      <c r="E116" s="26" t="inlineStr">
        <is>
          <t xml:space="preserve">nF</t>
        </is>
      </c>
      <c r="F116" s="2">
        <v>100</v>
      </c>
    </row>
    <row r="117">
      <c r="B117" s="1" t="inlineStr">
        <is>
          <t xml:space="preserve">Maximum bootstrap resistor (0 = diode alone)</t>
        </is>
      </c>
      <c r="C117" s="1" t="inlineStr">
        <is>
          <t xml:space="preserve">R.boot.max</t>
        </is>
      </c>
      <c r="D117" s="49">
        <f>CC!$C$128</f>
      </c>
      <c r="E117" s="26" t="inlineStr">
        <is>
          <t xml:space="preserve">Ω</t>
        </is>
      </c>
      <c r="F117" s="2">
        <v>3.3</v>
      </c>
    </row>
    <row r="118">
      <c r="B118" s="1" t="inlineStr">
        <is>
          <t xml:space="preserve">D.boot forward voltage</t>
        </is>
      </c>
      <c r="C118" s="1" t="inlineStr">
        <is>
          <t xml:space="preserve">V.F.boot</t>
        </is>
      </c>
      <c r="D118" s="49"/>
      <c r="E118" s="26" t="inlineStr">
        <is>
          <t xml:space="preserve">V</t>
        </is>
      </c>
      <c r="F118" s="2">
        <v>1.0</v>
      </c>
    </row>
    <row r="119">
      <c r="B119" s="20" t="inlineStr">
        <is>
          <t xml:space="preserve">Parameters</t>
        </is>
      </c>
      <c r="C119" s="20" t="inlineStr">
        <is>
          <t xml:space="preserve">Name</t>
        </is>
      </c>
      <c r="D119" s="20" t="inlineStr">
        <is>
          <t xml:space="preserve">Value</t>
        </is>
      </c>
      <c r="E119" s="20" t="inlineStr">
        <is>
          <t xml:space="preserve">Unit</t>
        </is>
      </c>
      <c r="F119" s="20" t="inlineStr">
        <is>
          <t xml:space="preserve">Check</t>
        </is>
      </c>
    </row>
    <row r="120">
      <c r="B120" s="1" t="inlineStr">
        <is>
          <t xml:space="preserve">Dead time needed in run (IC ADT 40-420 ns, or the driver t.DT)</t>
        </is>
      </c>
      <c r="C120" s="1" t="inlineStr">
        <is>
          <t xml:space="preserve">t.D.need</t>
        </is>
      </c>
      <c r="D120" s="49">
        <f>CC!$C$117</f>
      </c>
      <c r="E120" s="26" t="inlineStr">
        <is>
          <t xml:space="preserve">ns</t>
        </is>
      </c>
    </row>
    <row r="121">
      <c r="B121" s="1" t="inlineStr">
        <is>
          <t xml:space="preserve">Dead time allowed in run (gate on before the current reverses)</t>
        </is>
      </c>
      <c r="C121" s="1" t="inlineStr">
        <is>
          <t xml:space="preserve">t.D.max</t>
        </is>
      </c>
      <c r="D121" s="49">
        <f>CC!$C$118</f>
      </c>
      <c r="E121" s="26" t="inlineStr">
        <is>
          <t xml:space="preserve">ns</t>
        </is>
      </c>
    </row>
    <row r="122">
      <c r="B122" s="1" t="inlineStr">
        <is>
          <t xml:space="preserve">Dead time margin, need vs. IC / driver and vs. t.D.max (&gt;1)</t>
        </is>
      </c>
      <c r="C122" s="1" t="inlineStr">
        <is>
          <t xml:space="preserve">k.tD</t>
        </is>
      </c>
      <c r="D122" s="49">
        <f>CC!$C$119</f>
      </c>
      <c r="E122" s="26" t="inlineStr">
        <is>
          <t xml:space="preserve">-</t>
        </is>
      </c>
      <c r="F122" s="1">
        <f>IF(D122&gt;=1,"OK","CHECK")</f>
      </c>
    </row>
    <row r="123">
      <c r="B123" s="1" t="inlineStr">
        <is>
          <t xml:space="preserve">Gate voltage at the end of the start-up pulse (&gt;= 10 V)</t>
        </is>
      </c>
      <c r="C123" s="1" t="inlineStr">
        <is>
          <t xml:space="preserve">V.g.su</t>
        </is>
      </c>
      <c r="D123" s="49">
        <f>CC!$C$93</f>
      </c>
      <c r="E123" s="26" t="inlineStr">
        <is>
          <t xml:space="preserve">V</t>
        </is>
      </c>
      <c r="F123" s="1">
        <f>IF(D123&gt;=10,"OK","CHECK")</f>
      </c>
    </row>
    <row r="124">
      <c r="B124" s="1" t="inlineStr">
        <is>
          <t xml:space="preserve">V.BS after the first LOUT pulse (&gt;= V.bo.min)</t>
        </is>
      </c>
      <c r="C124" s="1" t="inlineStr">
        <is>
          <t xml:space="preserve">V.bs.1</t>
        </is>
      </c>
      <c r="D124" s="49">
        <f>CC!$C$129</f>
      </c>
      <c r="E124" s="26" t="inlineStr">
        <is>
          <t xml:space="preserve">V</t>
        </is>
      </c>
      <c r="F124" s="1">
        <f>IF(D124&gt;=D103,"OK","CHECK")</f>
      </c>
    </row>
    <row r="125">
      <c r="B125" s="1" t="inlineStr">
        <is>
          <t xml:space="preserve">V.BS lowest, steady at f.SU</t>
        </is>
      </c>
      <c r="C125" s="1" t="inlineStr">
        <is>
          <t xml:space="preserve">V.bs.min</t>
        </is>
      </c>
      <c r="D125" s="49">
        <f>CC!$C$131</f>
      </c>
      <c r="E125" s="26" t="inlineStr">
        <is>
          <t xml:space="preserve">V</t>
        </is>
      </c>
    </row>
    <row r="126">
      <c r="B126" s="1" t="inlineStr">
        <is>
          <t xml:space="preserve">Gate-off margin against the Miller kick (&gt;1)</t>
        </is>
      </c>
      <c r="C126" s="1" t="inlineStr">
        <is>
          <t xml:space="preserve">k.Miller</t>
        </is>
      </c>
      <c r="D126" s="49">
        <f>CC!$C$111</f>
      </c>
      <c r="E126" s="26" t="inlineStr">
        <is>
          <t xml:space="preserve">-</t>
        </is>
      </c>
      <c r="F126" s="1">
        <f>IF(D126&gt;=1,"OK","CHECK")</f>
      </c>
    </row>
    <row r="127">
      <c r="B127" s="1" t="inlineStr">
        <is>
          <t xml:space="preserve">Maximum driver dissipation at Ta (D73): (Tj.max - Ta) / Rth</t>
        </is>
      </c>
      <c r="C127" s="1" t="inlineStr">
        <is>
          <t xml:space="preserve">P.drv.max</t>
        </is>
      </c>
      <c r="D127" s="49">
        <f>CC!$C$100</f>
      </c>
      <c r="E127" s="26" t="inlineStr">
        <is>
          <t xml:space="preserve">W</t>
        </is>
      </c>
    </row>
    <row r="128">
      <c r="B128" s="1" t="inlineStr">
        <is>
          <t xml:space="preserve">Driver dissipation at f.Max, both sides</t>
        </is>
      </c>
      <c r="C128" s="1" t="inlineStr">
        <is>
          <t xml:space="preserve">P.drv</t>
        </is>
      </c>
      <c r="D128" s="49">
        <f>CC!$C$99</f>
      </c>
      <c r="E128" s="26" t="inlineStr">
        <is>
          <t xml:space="preserve">W</t>
        </is>
      </c>
      <c r="F128" s="1">
        <f>IF(D128&lt;=D127,"OK","CHECK")</f>
      </c>
    </row>
    <row r="129">
      <c r="B129" s="1" t="inlineStr">
        <is>
          <t xml:space="preserve">Driver junction temperature at f.Max and Ta</t>
        </is>
      </c>
      <c r="C129" s="1" t="inlineStr">
        <is>
          <t xml:space="preserve">Tj.drv</t>
        </is>
      </c>
      <c r="D129" s="49">
        <f>CC!$C$134</f>
      </c>
      <c r="E129" s="26" t="inlineStr">
        <is>
          <t xml:space="preserve">˚C</t>
        </is>
      </c>
    </row>
    <row r="130">
      <c r="B130" s="1" t="inlineStr">
        <is>
          <t xml:space="preserve">Highest switching frequency f.SU (&lt;= the driver f.max)</t>
        </is>
      </c>
      <c r="C130" s="1" t="inlineStr">
        <is>
          <t xml:space="preserve">f.SU</t>
        </is>
      </c>
      <c r="D130" s="49">
        <f>'Device Setting'!$D$29</f>
      </c>
      <c r="E130" s="26" t="inlineStr">
        <is>
          <t xml:space="preserve">kHz</t>
        </is>
      </c>
      <c r="F130" s="1">
        <f>IF(D130&lt;=D99,"OK","CHECK")</f>
      </c>
    </row>
    <row r="131">
      <c r="B131" s="1" t="inlineStr">
        <is>
          <t xml:space="preserve">R.on dissipation at f.Max (package rating &gt;= 2x)</t>
        </is>
      </c>
      <c r="C131" s="1" t="inlineStr">
        <is>
          <t xml:space="preserve">P.Ron</t>
        </is>
      </c>
      <c r="D131" s="49">
        <f>CC!$C$132</f>
      </c>
      <c r="E131" s="26" t="inlineStr">
        <is>
          <t xml:space="preserve">W</t>
        </is>
      </c>
    </row>
    <row r="132">
      <c r="B132" s="1" t="inlineStr">
        <is>
          <t xml:space="preserve">R.off dissipation at f.Max (package rating &gt;= 2x)</t>
        </is>
      </c>
      <c r="C132" s="1" t="inlineStr">
        <is>
          <t xml:space="preserve">P.Roff</t>
        </is>
      </c>
      <c r="D132" s="49">
        <f>CC!$C$133</f>
      </c>
      <c r="E132" s="26" t="inlineStr">
        <is>
          <t xml:space="preserve">W</t>
        </is>
      </c>
    </row>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s">
        <v>1202</v>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14" ht="15" customHeight="1">
      <c r="B148" s="1" t="s">
        <v>1219</v>
      </c>
      <c r="C148" s="1" t="s">
        <v>433</v>
      </c>
      <c r="D148" s="2">
        <v>3.7000000000000002E-3</v>
      </c>
      <c r="E148" s="26" t="s">
        <v>175</v>
      </c>
    </row>
    <row r="149" spans="2:5" ht="15" customHeight="1">
      <c r="B149" s="1" t="s">
        <v>423</v>
      </c>
      <c r="C149" s="1" t="s">
        <v>424</v>
      </c>
      <c r="D149" s="2">
        <v>25</v>
      </c>
      <c r="E149" s="26" t="s">
        <v>425</v>
      </c>
    </row>
    <row r="150" spans="2:5" ht="15">
      <c r="B150" s="1" t="s">
        <v>1217</v>
      </c>
      <c r="C150" s="1" t="s">
        <v>1098</v>
      </c>
      <c r="D150" s="2">
        <v>1.9</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Components'!$F$107</f>
      </c>
      <c r="D82" s="10" t="inlineStr">
        <is>
          <t xml:space="preserve">V</t>
        </is>
      </c>
    </row>
    <row r="83">
      <c r="B83" s="10" t="inlineStr">
        <is>
          <t xml:space="preserve">V.drv min: driver range, and 10 V at the high-side gate after D.boot</t>
        </is>
      </c>
      <c r="C83" s="87">
        <f>MAX('Power Components'!$D$94,10+'Power Components'!$F$118)</f>
      </c>
      <c r="D83" s="10" t="inlineStr">
        <is>
          <t xml:space="preserve">V</t>
        </is>
      </c>
    </row>
    <row r="84">
      <c r="B84" s="10" t="inlineStr">
        <is>
          <t xml:space="preserve">V.drv max: driver range</t>
        </is>
      </c>
      <c r="C84" s="87">
        <f>'Power Components'!$D$95</f>
      </c>
      <c r="D84" s="10" t="inlineStr">
        <is>
          <t xml:space="preserve">V</t>
        </is>
      </c>
    </row>
    <row r="85">
      <c r="B85" s="10" t="inlineStr">
        <is>
          <t xml:space="preserve">Gate capacitance per position: n.par x C.g + C.gs</t>
        </is>
      </c>
      <c r="C85" s="87">
        <f>'Power Components'!$D$68*'Power Components'!$D$76+'Power Components'!$F$113</f>
      </c>
      <c r="D85" s="10" t="inlineStr">
        <is>
          <t xml:space="preserve">nF</t>
        </is>
      </c>
    </row>
    <row r="86">
      <c r="B86" s="10" t="inlineStr">
        <is>
          <t xml:space="preserve">Internal gate resistance per position</t>
        </is>
      </c>
      <c r="C86" s="87">
        <f>'Power Components'!$D$78/'Power Components'!$D$68</f>
      </c>
      <c r="D86" s="10" t="inlineStr">
        <is>
          <t xml:space="preserve">Ω</t>
        </is>
      </c>
    </row>
    <row r="87">
      <c r="B87" s="10" t="inlineStr">
        <is>
          <t xml:space="preserve">Turn-off path resistance</t>
        </is>
      </c>
      <c r="C87" s="87">
        <f>IF('Power Components'!$F$112=0,'Power Components'!$F$111,IF('Power Components'!$F$111&gt;0,'Power Components'!$F$111*'Power Components'!$F$110/('Power Components'!$F$111+'Power Components'!$F$110),'Power Components'!$F$110))</f>
      </c>
      <c r="D87" s="10" t="inlineStr">
        <is>
          <t xml:space="preserve">Ω</t>
        </is>
      </c>
    </row>
    <row r="88">
      <c r="B88" s="10" t="inlineStr">
        <is>
          <t xml:space="preserve">Turn-off path offset (D.off)</t>
        </is>
      </c>
      <c r="C88" s="87">
        <f>IF(AND('Power Components'!$F$112&gt;0,'Power Components'!$F$111&gt;0),'Power Components'!$F$112*'Power Components'!$F$110/('Power Components'!$F$111+'Power Components'!$F$110),0)</f>
      </c>
      <c r="D88" s="10" t="inlineStr">
        <is>
          <t xml:space="preserve">V</t>
        </is>
      </c>
    </row>
    <row r="89">
      <c r="B89" s="10" t="inlineStr">
        <is>
          <t xml:space="preserve">τ.on = (R.so + R.on + R.gi) C.G</t>
        </is>
      </c>
      <c r="C89" s="87">
        <f>(C80+'Power Components'!$F$110+C86)*C85</f>
      </c>
      <c r="D89" s="10" t="inlineStr">
        <is>
          <t xml:space="preserve">ns</t>
        </is>
      </c>
    </row>
    <row r="90">
      <c r="B90" s="10" t="inlineStr">
        <is>
          <t xml:space="preserve">τ.off = (R.si + R.off.eff + R.gi) C.G</t>
        </is>
      </c>
      <c r="C90" s="87">
        <f>(C81+C87+C86)*C85</f>
      </c>
      <c r="D90" s="10" t="inlineStr">
        <is>
          <t xml:space="preserve">ns</t>
        </is>
      </c>
    </row>
    <row r="91">
      <c r="B91" s="10" t="inlineStr">
        <is>
          <t xml:space="preserve">Start-up pulse T/2 - max(t.D.su, t.DT) (also the first LOUT pulse)</t>
        </is>
      </c>
      <c r="C91" s="87">
        <f>10^6/(2*'Device Setting'!$D$29)-MAX(C78,'Power Components'!$D$98)</f>
      </c>
      <c r="D91" s="10" t="inlineStr">
        <is>
          <t xml:space="preserve">ns</t>
        </is>
      </c>
    </row>
    <row r="92">
      <c r="B92" s="10" t="inlineStr">
        <is>
          <t xml:space="preserve">Pulse at f.Max: T/2 - t.D</t>
        </is>
      </c>
      <c r="C92" s="87">
        <f>10^6/(2*'Device Setting'!$D$27)-MAX('Design Spec'!$D$47,'Power Components'!$D$98)</f>
      </c>
      <c r="D92" s="10" t="inlineStr">
        <is>
          <t xml:space="preserve">ns</t>
        </is>
      </c>
    </row>
    <row r="93">
      <c r="B93" s="10" t="inlineStr">
        <is>
          <t xml:space="preserve">Gate voltage at the end of the start-up pulse</t>
        </is>
      </c>
      <c r="C93" s="87">
        <f>C82*(1-EXP(-C91/C89))</f>
      </c>
      <c r="D93" s="10" t="inlineStr">
        <is>
          <t xml:space="preserve">V</t>
        </is>
      </c>
    </row>
    <row r="94">
      <c r="B94" s="10" t="inlineStr">
        <is>
          <t xml:space="preserve">Gate voltage at the end of the f.Max pulse</t>
        </is>
      </c>
      <c r="C94" s="87">
        <f>C82*(1-EXP(-C92/C89))</f>
      </c>
      <c r="D94" s="10" t="inlineStr">
        <is>
          <t xml:space="preserve">V</t>
        </is>
      </c>
    </row>
    <row r="95">
      <c r="B95" s="10" t="inlineStr">
        <is>
          <t xml:space="preserve">Energy per turn-on at f.Max</t>
        </is>
      </c>
      <c r="C95" s="87">
        <f>C85*C94*(C82-C94/2)</f>
      </c>
      <c r="D95" s="10" t="inlineStr">
        <is>
          <t xml:space="preserve">nJ</t>
        </is>
      </c>
    </row>
    <row r="96">
      <c r="B96" s="10" t="inlineStr">
        <is>
          <t xml:space="preserve">Energy per turn-off at f.Max</t>
        </is>
      </c>
      <c r="C96" s="87">
        <f>C85*C94^2/2</f>
      </c>
      <c r="D96" s="10" t="inlineStr">
        <is>
          <t xml:space="preserve">nJ</t>
        </is>
      </c>
    </row>
    <row r="97">
      <c r="B97" s="10" t="inlineStr">
        <is>
          <t xml:space="preserve">Driver share of the turn-on energy</t>
        </is>
      </c>
      <c r="C97" s="87">
        <f>C80/(C80+'Power Components'!$F$110+C86)</f>
      </c>
      <c r="D97" s="10" t="inlineStr">
        <is>
          <t xml:space="preserve">-</t>
        </is>
      </c>
    </row>
    <row r="98">
      <c r="B98" s="10" t="inlineStr">
        <is>
          <t xml:space="preserve">Driver share of the turn-off energy</t>
        </is>
      </c>
      <c r="C98" s="87">
        <f>C81/(C81+C87+C86)</f>
      </c>
      <c r="D98" s="10" t="inlineStr">
        <is>
          <t xml:space="preserve">-</t>
        </is>
      </c>
    </row>
    <row r="99">
      <c r="B99" s="10" t="inlineStr">
        <is>
          <t xml:space="preserve">Driver power at f.Max, both positions + quiescent</t>
        </is>
      </c>
      <c r="C99" s="87">
        <f>2*(C95*C97+C96*C98)*'Device Setting'!$D$27*10^-6+'Power Components'!$D$100*C82/1000</f>
      </c>
      <c r="D99" s="10" t="inlineStr">
        <is>
          <t xml:space="preserve">W</t>
        </is>
      </c>
    </row>
    <row r="100">
      <c r="B100" s="10" t="inlineStr">
        <is>
          <t xml:space="preserve">Driver power allowed: (Tj.max - Ta) / Rth</t>
        </is>
      </c>
      <c r="C100" s="87">
        <f>('Power Components'!$D$102-'Power Components'!$D$73)/'Power Components'!$D$101</f>
      </c>
      <c r="D100" s="10" t="inlineStr">
        <is>
          <t xml:space="preserve">W</t>
        </is>
      </c>
    </row>
    <row r="101">
      <c r="B101" s="10" t="inlineStr">
        <is>
          <t xml:space="preserve">Driver gate-power budget: allowed - quiescent</t>
        </is>
      </c>
      <c r="C101" s="87">
        <f>C100-'Power Components'!$D$100*C82/1000</f>
      </c>
      <c r="D101" s="10" t="inlineStr">
        <is>
          <t xml:space="preserve">W</t>
        </is>
      </c>
    </row>
    <row r="102">
      <c r="B102" s="10" t="inlineStr">
        <is>
          <t xml:space="preserve">Turn-on share the budget allows</t>
        </is>
      </c>
      <c r="C102" s="87">
        <f>(C101-2*C96*C98*'Device Setting'!$D$27*10^-6)/(2*C95*'Device Setting'!$D$27*10^-6)</f>
      </c>
      <c r="D102" s="10" t="inlineStr">
        <is>
          <t xml:space="preserve">-</t>
        </is>
      </c>
    </row>
    <row r="103">
      <c r="B103" s="10" t="inlineStr">
        <is>
          <t xml:space="preserve">R.on min: the driver temperature</t>
        </is>
      </c>
      <c r="C103" s="87">
        <f>IF(C102&lt;=0,"lower V.drv",MAX(0,C80/C102-C80-C86))</f>
      </c>
      <c r="D103" s="10" t="inlineStr">
        <is>
          <t xml:space="preserve">Ω</t>
        </is>
      </c>
    </row>
    <row r="104">
      <c r="B104" s="10" t="inlineStr">
        <is>
          <t xml:space="preserve">R.on max: the gate reaches 10 V within the start-up pulse</t>
        </is>
      </c>
      <c r="C104" s="87">
        <f>IF(C82&gt;10,C91/(C85*LN(C82/(C82-10)))-C80-C86,0)</f>
      </c>
      <c r="D104" s="10" t="inlineStr">
        <is>
          <t xml:space="preserve">Ω</t>
        </is>
      </c>
    </row>
    <row r="105">
      <c r="B105" s="10" t="inlineStr">
        <is>
          <t xml:space="preserve">R.on recommended: the log middle of min .. max, E12 below</t>
        </is>
      </c>
      <c r="C105" s="87">
        <f>IF(ISNUMBER(C103),IF((SQRT(MAX(C103,1)*MAX(C104,1)))&lt;=0,0,10^INT(LOG10((SQRT(MAX(C103,1)*MAX(C104,1)))*1.000001))*LOOKUP((SQRT(MAX(C103,1)*MAX(C104,1)))*1.000001/10^INT(LOG10((SQRT(MAX(C103,1)*MAX(C104,1)))*1.000001)),{1,1.2,1.5,1.8,2.2,2.7,3.3,3.9,4.7,5.6,6.8,8.2})),C103)</f>
      </c>
      <c r="D105" s="10" t="inlineStr">
        <is>
          <t xml:space="preserve">Ω</t>
        </is>
      </c>
    </row>
    <row r="106">
      <c r="B106" s="10" t="inlineStr">
        <is>
          <t xml:space="preserve">Midpoint swing in run: c.HB V.bus,max / I.Lm.pk</t>
        </is>
      </c>
      <c r="C106" s="87">
        <f>'Design Spec'!$D$46*SQRT(2)*'Design Spec'!$D$14/'Res. Tank Design'!$D$73/1000</f>
      </c>
      <c r="D106" s="10" t="inlineStr">
        <is>
          <t xml:space="preserve">ns</t>
        </is>
      </c>
    </row>
    <row r="107">
      <c r="B107" s="10" t="inlineStr">
        <is>
          <t xml:space="preserve">Midpoint swing at start-up: c.HB V.bus,FB / I.su</t>
        </is>
      </c>
      <c r="C107" s="87">
        <f>'Design Spec'!$D$46*C79/'Res. Tank Design'!$D$84/1000</f>
      </c>
      <c r="D107" s="10" t="inlineStr">
        <is>
          <t xml:space="preserve">ns</t>
        </is>
      </c>
    </row>
    <row r="108">
      <c r="B108" s="10" t="inlineStr">
        <is>
          <t xml:space="preserve">Miller current into an off gate during the faster swing</t>
        </is>
      </c>
      <c r="C108" s="87">
        <f>'Power Components'!$D$68*'Power Components'!$D$82/MIN(C106,C107)</f>
      </c>
      <c r="D108" s="10" t="inlineStr">
        <is>
          <t xml:space="preserve">A</t>
        </is>
      </c>
    </row>
    <row r="109">
      <c r="B109" s="10" t="inlineStr">
        <is>
          <t xml:space="preserve">Gate kick, resistive estimate: i.M x sink path</t>
        </is>
      </c>
      <c r="C109" s="87">
        <f>C108*(C81+C87+C86)</f>
      </c>
      <c r="D109" s="10" t="inlineStr">
        <is>
          <t xml:space="preserve">V</t>
        </is>
      </c>
    </row>
    <row r="110">
      <c r="B110" s="10" t="inlineStr">
        <is>
          <t xml:space="preserve">Gate kick, capacitive bound: Q.gd / (C.gs + C.gs option)</t>
        </is>
      </c>
      <c r="C110" s="87">
        <f>'Power Components'!$D$68*'Power Components'!$D$82/('Power Components'!$D$68*'Power Components'!$D$77+'Power Components'!$F$113)</f>
      </c>
      <c r="D110" s="10" t="inlineStr">
        <is>
          <t xml:space="preserve">V</t>
        </is>
      </c>
    </row>
    <row r="111">
      <c r="B111" s="10" t="inlineStr">
        <is>
          <t xml:space="preserve">k.Miller = V.th min / the smaller kick</t>
        </is>
      </c>
      <c r="C111" s="87">
        <f>'Power Components'!$D$81/MIN(C109,C110)</f>
      </c>
      <c r="D111" s="10" t="inlineStr">
        <is>
          <t xml:space="preserve">-</t>
        </is>
      </c>
    </row>
    <row r="112">
      <c r="B112" s="10" t="inlineStr">
        <is>
          <t xml:space="preserve">C.gs needed (0 if the gate holds without it)</t>
        </is>
      </c>
      <c r="C112" s="87">
        <f>IF(MIN(C109,C110)&lt;='Power Components'!$D$81,0,MAX(0,'Power Components'!$D$68*('Power Components'!$D$82/'Power Components'!$D$81-'Power Components'!$D$77)))</f>
      </c>
      <c r="D112" s="10" t="inlineStr">
        <is>
          <t xml:space="preserve">nF</t>
        </is>
      </c>
    </row>
    <row r="113">
      <c r="B113" s="10" t="inlineStr">
        <is>
          <t xml:space="preserve">t.on: IC edge -&gt; V.th</t>
        </is>
      </c>
      <c r="C113" s="87">
        <f>'Power Components'!$D$96+C89*LN(C82/(C82-'Power Components'!$D$80))</f>
      </c>
      <c r="D113" s="10" t="inlineStr">
        <is>
          <t xml:space="preserve">ns</t>
        </is>
      </c>
    </row>
    <row r="114">
      <c r="B114" s="10" t="inlineStr">
        <is>
          <t xml:space="preserve">IC edge -&gt; plateau on the way up</t>
        </is>
      </c>
      <c r="C114" s="87">
        <f>'Power Components'!$D$96+C89*LN(C82/(C82-'Power Components'!$D$79))</f>
      </c>
      <c r="D114" s="10" t="inlineStr">
        <is>
          <t xml:space="preserve">ns</t>
        </is>
      </c>
    </row>
    <row r="115">
      <c r="B115" s="10" t="inlineStr">
        <is>
          <t xml:space="preserve">t.off: IC edge -&gt; below V.th min</t>
        </is>
      </c>
      <c r="C115" s="87">
        <f>IF('Power Components'!$D$81&gt;C88,'Power Components'!$D$96+C90*LN((C82-C88)/('Power Components'!$D$81-C88)),"never")</f>
      </c>
      <c r="D115" s="10" t="inlineStr">
        <is>
          <t xml:space="preserve">ns</t>
        </is>
      </c>
    </row>
    <row r="116">
      <c r="B116" s="10" t="inlineStr">
        <is>
          <t xml:space="preserve">IC edge -&gt; plateau on the way down</t>
        </is>
      </c>
      <c r="C116" s="87">
        <f>'Power Components'!$D$96+C90*LN((C82-C88)/('Power Components'!$D$79-C88))</f>
      </c>
      <c r="D116" s="10" t="inlineStr">
        <is>
          <t xml:space="preserve">ns</t>
        </is>
      </c>
    </row>
    <row r="117">
      <c r="B117" s="10" t="inlineStr">
        <is>
          <t xml:space="preserve">t.D.need = (t.off.pl - t.pd) + swing - (t.on - t.pd) + MT</t>
        </is>
      </c>
      <c r="C117" s="87">
        <f>C116-C113+C106+'Power Components'!$D$97</f>
      </c>
      <c r="D117" s="10" t="inlineStr">
        <is>
          <t xml:space="preserve">ns</t>
        </is>
      </c>
    </row>
    <row r="118">
      <c r="B118" s="10" t="inlineStr">
        <is>
          <t xml:space="preserve">t.D.max = T/4 at f.Max + (t.off.pl - t.on.pl) - MT: on at the plateau before the reversal</t>
        </is>
      </c>
      <c r="C118" s="87">
        <f>10^6/(4*'Device Setting'!$D$27)+C116-C114-'Power Components'!$D$97</f>
      </c>
      <c r="D118" s="10" t="inlineStr">
        <is>
          <t xml:space="preserve">ns</t>
        </is>
      </c>
    </row>
    <row r="119">
      <c r="B119" s="10" t="inlineStr">
        <is>
          <t xml:space="preserve">k.tD = min(max(420, t.DT) / need, t.D.max / max(need, t.DT))</t>
        </is>
      </c>
      <c r="C119" s="87">
        <f>MIN(MAX(420,'Power Components'!$D$98)/C117,C118/MAX(C117,'Power Components'!$D$98))</f>
      </c>
      <c r="D119" s="10" t="inlineStr">
        <is>
          <t xml:space="preserve">-</t>
        </is>
      </c>
    </row>
    <row r="120">
      <c r="B120" s="10" t="inlineStr">
        <is>
          <t xml:space="preserve">Turn-off path that holds the gate below V.th min against the Miller current</t>
        </is>
      </c>
      <c r="C120" s="87">
        <f>'Power Components'!$D$81/C108-C81-C86</f>
      </c>
      <c r="D120" s="10" t="inlineStr">
        <is>
          <t xml:space="preserve">Ω</t>
        </is>
      </c>
    </row>
    <row r="121">
      <c r="B121" s="10" t="inlineStr">
        <is>
          <t xml:space="preserve">Turn-off path that has the gate off before the other side turns on (t.D + t.on)</t>
        </is>
      </c>
      <c r="C121" s="87">
        <f>(MAX('Design Spec'!$D$47,'Power Components'!$D$98)+C113-'Power Components'!$D$96)/(LN((C82-C88)/('Power Components'!$D$81-C88))*C85)-C81-C86</f>
      </c>
      <c r="D121" s="10" t="inlineStr">
        <is>
          <t xml:space="preserve">Ω</t>
        </is>
      </c>
    </row>
    <row r="122">
      <c r="B122" s="10" t="inlineStr">
        <is>
          <t xml:space="preserve">Turn-off path max: the overlap limit, and the Miller limit unless C.gs alone holds</t>
        </is>
      </c>
      <c r="C122" s="87">
        <f>IF(C110&lt;='Power Components'!$D$81,C121,MIN(C121,C120))</f>
      </c>
      <c r="D122" s="10" t="inlineStr">
        <is>
          <t xml:space="preserve">Ω</t>
        </is>
      </c>
    </row>
    <row r="123">
      <c r="B123" s="10" t="inlineStr">
        <is>
          <t xml:space="preserve">R.off max (in parallel with R.on unless V.F = 0)</t>
        </is>
      </c>
      <c r="C123" s="87">
        <f>IF(C122&lt;=0,"lower R.on",IF('Power Components'!$F$112=0,C122,IF(C122&gt;='Power Components'!$F$110,"no limit",1/(1/C122-1/'Power Components'!$F$110))))</f>
      </c>
      <c r="D123" s="10" t="inlineStr">
        <is>
          <t xml:space="preserve">Ω</t>
        </is>
      </c>
    </row>
    <row r="124">
      <c r="B124" s="10" t="inlineStr">
        <is>
          <t xml:space="preserve">C.boot min: 10 x C.G</t>
        </is>
      </c>
      <c r="C124" s="87">
        <f>10*C85</f>
      </c>
      <c r="D124" s="10" t="inlineStr">
        <is>
          <t xml:space="preserve">nF</t>
        </is>
      </c>
    </row>
    <row r="125">
      <c r="B125" s="10" t="inlineStr">
        <is>
          <t xml:space="preserve">C.boot max: the first LOUT pulse still charges it to V.bo.min (with R.boot)</t>
        </is>
      </c>
      <c r="C125" s="87">
        <f>IF(C82-'Power Components'!$F$118&gt;'Power Components'!$D$103,C91/(MAX('Power Components'!$F$117,0.5)*LN((C82-'Power Components'!$F$118)/(C82-'Power Components'!$F$118-'Power Components'!$D$103))),0)</f>
      </c>
      <c r="D125" s="10" t="inlineStr">
        <is>
          <t xml:space="preserve">nF</t>
        </is>
      </c>
    </row>
    <row r="126">
      <c r="B126" s="10" t="inlineStr">
        <is>
          <t xml:space="preserve">C.boot recommended: E6 above the min</t>
        </is>
      </c>
      <c r="C126" s="87">
        <f>IF((C124)&lt;=0,0,-10^INT(LOG10((C124)*0.999999))*LOOKUP(-(C124)*0.999999/10^INT(LOG10((C124)*0.999999)),{-10,-6.8,-4.7,-3.3,-2.2,-1.5,-1}))</f>
      </c>
      <c r="D126" s="10" t="inlineStr">
        <is>
          <t xml:space="preserve">nF</t>
        </is>
      </c>
    </row>
    <row r="127">
      <c r="B127" s="10" t="inlineStr">
        <is>
          <t xml:space="preserve">τ.boot (a diode alone taken as 0.5 Ω)</t>
        </is>
      </c>
      <c r="C127" s="87">
        <f>MAX('Power Components'!$F$117,0.5)*'Power Components'!$F$116</f>
      </c>
      <c r="D127" s="10" t="inlineStr">
        <is>
          <t xml:space="preserve">ns</t>
        </is>
      </c>
    </row>
    <row r="128">
      <c r="B128" s="10" t="inlineStr">
        <is>
          <t xml:space="preserve">R.boot max: the first LOUT pulse reaches V.bo.min (with C.boot)</t>
        </is>
      </c>
      <c r="C128" s="87">
        <f>IF(C82-'Power Components'!$F$118&gt;'Power Components'!$D$103,C91/('Power Components'!$F$116*LN((C82-'Power Components'!$F$118)/(C82-'Power Components'!$F$118-'Power Components'!$D$103))),"V.drv too low")</f>
      </c>
      <c r="D128" s="10" t="inlineStr">
        <is>
          <t xml:space="preserve">Ω</t>
        </is>
      </c>
    </row>
    <row r="129">
      <c r="B129" s="10" t="inlineStr">
        <is>
          <t xml:space="preserve">V.BS after the first LOUT pulse</t>
        </is>
      </c>
      <c r="C129" s="87">
        <f>(C82-'Power Components'!$F$118)*(1-EXP(-C91/C127))</f>
      </c>
      <c r="D129" s="10" t="inlineStr">
        <is>
          <t xml:space="preserve">V</t>
        </is>
      </c>
    </row>
    <row r="130">
      <c r="B130" s="10" t="inlineStr">
        <is>
          <t xml:space="preserve">V.BS drop per high-side pulse at f.SU (gate charge + floating quiescent 120 uA)</t>
        </is>
      </c>
      <c r="C130" s="87">
        <f>C85*C93/'Power Components'!$F$116+0.00012*C91/'Power Components'!$F$116</f>
      </c>
      <c r="D130" s="10" t="inlineStr">
        <is>
          <t xml:space="preserve">V</t>
        </is>
      </c>
    </row>
    <row r="131">
      <c r="B131" s="10" t="inlineStr">
        <is>
          <t xml:space="preserve">V.BS lowest, steady at f.SU</t>
        </is>
      </c>
      <c r="C131" s="87">
        <f>C82-'Power Components'!$F$118-C130*EXP(-C91/C127)/(1-EXP(-C91/C127))-C130</f>
      </c>
      <c r="D131" s="10" t="inlineStr">
        <is>
          <t xml:space="preserve">V</t>
        </is>
      </c>
    </row>
    <row r="132">
      <c r="B132" s="10" t="inlineStr">
        <is>
          <t xml:space="preserve">P.Ron at f.Max</t>
        </is>
      </c>
      <c r="C132" s="87">
        <f>(C95*'Power Components'!$F$110/(C80+'Power Components'!$F$110+C86)+IF('Power Components'!$F$112=0,0,C96*C87/(C81+C87+C86)*C87/'Power Components'!$F$110))*'Device Setting'!$D$27*10^-6</f>
      </c>
      <c r="D132" s="10" t="inlineStr">
        <is>
          <t xml:space="preserve">W</t>
        </is>
      </c>
    </row>
    <row r="133">
      <c r="B133" s="10" t="inlineStr">
        <is>
          <t xml:space="preserve">P.Roff at f.Max</t>
        </is>
      </c>
      <c r="C133" s="87">
        <f>IF('Power Components'!$F$111&gt;0,C96*C87/(C81+C87+C86)*IF('Power Components'!$F$112=0,1,C87/'Power Components'!$F$111)*'Device Setting'!$D$27*10^-6,0)</f>
      </c>
      <c r="D133" s="10" t="inlineStr">
        <is>
          <t xml:space="preserve">W</t>
        </is>
      </c>
    </row>
    <row r="134">
      <c r="B134" s="10" t="inlineStr">
        <is>
          <t xml:space="preserve">Driver junction at f.Max and Ta (Power Components D73)</t>
        </is>
      </c>
      <c r="C134" s="87">
        <f>'Power Components'!$D$73+C99*'Power Components'!$D$101</f>
      </c>
      <c r="D13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