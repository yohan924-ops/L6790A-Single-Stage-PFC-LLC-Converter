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<sst xmlns="http://schemas.openxmlformats.org/spreadsheetml/2006/main" count="2127" uniqueCount="1232">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</sst>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161</xdr:row>
      <xdr:rowOff>171360</xdr:rowOff>
    </xdr:from>
    <xdr:to>
      <xdr:col>1</xdr:col>
      <xdr:colOff>2876760</xdr:colOff>
      <xdr:row>175</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161</xdr:row>
      <xdr:rowOff>56160</xdr:rowOff>
    </xdr:from>
    <xdr:to>
      <xdr:col>4</xdr:col>
      <xdr:colOff>303840</xdr:colOff>
      <xdr:row>175</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103</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UPC10XX datasheet typ at I.F 50 mA (max 1.6); no V.F curve in the datasheet, the LED runs at 0.2-0.5 mA where V.F is lower, so the R.B window computed from this is on the low side</t>
        </is>
      </c>
    </row>
    <row r="144">
      <c r="B144" s="8" t="inlineStr">
        <is>
          <t xml:space="preserve">CompensationNet&amp;Check</t>
        </is>
      </c>
      <c r="C144" s="8" t="inlineStr">
        <is>
          <t xml:space="preserve">D29</t>
        </is>
      </c>
      <c r="D144" s="8" t="inlineStr">
        <is>
          <t xml:space="preserve">0.37</t>
        </is>
      </c>
      <c r="E144" s="8" t="inlineStr">
        <is>
          <t xml:space="preserve">0.54</t>
        </is>
      </c>
      <c r="F144" s="8" t="inlineStr">
        <is>
          <t xml:space="preserve">CTR.steady at I.tr 150 uA - UPC1008 Ic-If curve (typ 192 % at 5 mA) scaled to the rank minimum 130 %: I.F 0.28 mA, CTR 0.54 (typ 0.71, rank max 0.86)</t>
        </is>
      </c>
    </row>
    <row r="145">
      <c r="B145" s="8" t="inlineStr">
        <is>
          <t xml:space="preserve">CompensationNet&amp;Check</t>
        </is>
      </c>
      <c r="C145" s="8" t="inlineStr">
        <is>
          <t xml:space="preserve">D31</t>
        </is>
      </c>
      <c r="D145" s="8" t="inlineStr">
        <is>
          <t xml:space="preserve">0.53</t>
        </is>
      </c>
      <c r="E145" s="8" t="inlineStr">
        <is>
          <t xml:space="preserve">0.65</t>
        </is>
      </c>
      <c r="F145" s="8" t="inlineStr">
        <is>
          <t xml:space="preserve">CTR.max at I.tr 300 uA - same curve, rank minimum: I.F 0.46 mA, CTR 0.65 (typ 0.86, rank max 1.07)</t>
        </is>
      </c>
    </row>
    <row r="146">
      <c r="B146" s="8" t="inlineStr">
        <is>
          <t xml:space="preserve">CompensationNet&amp;Check</t>
        </is>
      </c>
      <c r="C146" s="8" t="inlineStr">
        <is>
          <t xml:space="preserve">D14</t>
        </is>
      </c>
      <c r="D146" s="8" t="inlineStr">
        <is>
          <t xml:space="preserve">12</t>
        </is>
      </c>
      <c r="E146" s="8" t="inlineStr">
        <is>
          <t xml:space="preserve">11.74</t>
        </is>
      </c>
      <c r="F146" s="8" t="inlineStr">
        <is>
          <t xml:space="preserve">V.Z, V - 12V_FB rail: BSS169 follower, TL431 Q46, R197 100 k (user decision 2026-10-17; schematic had 130 k = 14.5 V) / R204 27 k -&gt; 2.495 x (1 + 100/27) = 11.74 V</t>
        </is>
      </c>
    </row>
    <row r="147">
      <c r="B147" s="8" t="inlineStr">
        <is>
          <t xml:space="preserve">CompensationNet&amp;Check</t>
        </is>
      </c>
      <c r="C147" s="8" t="inlineStr">
        <is>
          <t xml:space="preserve">F93</t>
        </is>
      </c>
      <c r="D147" s="8" t="inlineStr">
        <is>
          <t xml:space="preserve">82</t>
        </is>
      </c>
      <c r="E147" s="8" t="inlineStr">
        <is>
          <t xml:space="preserve">470</t>
        </is>
      </c>
      <c r="F147" s="8" t="inlineStr">
        <is>
          <t xml:space="preserve">C.Fo, nF - 470 nF: compensation re-scaled for the UPC1008 CTR (user decision 2026-10-17; board carries 220 nF until reworked)</t>
        </is>
      </c>
    </row>
    <row r="148">
      <c r="B148" s="8" t="inlineStr">
        <is>
          <t xml:space="preserve">CompensationNet&amp;Check</t>
        </is>
      </c>
      <c r="C148" s="8" t="inlineStr">
        <is>
          <t xml:space="preserve">F94</t>
        </is>
      </c>
      <c r="D148" s="8" t="inlineStr">
        <is>
          <t xml:space="preserve">560</t>
        </is>
      </c>
      <c r="E148" s="8" t="inlineStr">
        <is>
          <t xml:space="preserve">4700</t>
        </is>
      </c>
      <c r="F148" s="8" t="inlineStr">
        <is>
          <t xml:space="preserve">C.F, nF - 4.7 uF (board: C98 2.2 uF || C99 0.1 uF until reworked)</t>
        </is>
      </c>
    </row>
    <row r="149">
      <c r="B149" s="8" t="inlineStr">
        <is>
          <t xml:space="preserve">Power Components</t>
        </is>
      </c>
      <c r="C149" s="8" t="inlineStr">
        <is>
          <t xml:space="preserve">C50</t>
        </is>
      </c>
      <c r="D149" s="8" t="inlineStr">
        <is>
          <t xml:space="preserve">GBJ1506U</t>
        </is>
      </c>
      <c r="E149" s="8" t="inlineStr">
        <is>
          <t xml:space="preserve">GBU1006 x2 (AC pins paired)</t>
        </is>
      </c>
      <c r="F149" s="8" t="inlineStr">
        <is>
          <t xml:space="preserve">bridge label - BD2/BD3 GBU1006, each with its AC pins tied, outputs paralleled; Design Spec D52/D53 diode model left as the ST default</t>
        </is>
      </c>
    </row>
    <row r="150">
      <c r="B150" s="8" t="inlineStr">
        <is>
          <t xml:space="preserve">CompensationNet&amp;Check</t>
        </is>
      </c>
      <c r="C150" s="8" t="inlineStr">
        <is>
          <t xml:space="preserve">F95</t>
        </is>
      </c>
      <c r="D150" s="8" t="inlineStr">
        <is>
          <t xml:space="preserve">47</t>
        </is>
      </c>
      <c r="E150" s="8" t="inlineStr">
        <is>
          <t xml:space="preserve">10</t>
        </is>
      </c>
      <c r="F150" s="8" t="inlineStr">
        <is>
          <t xml:space="preserve">R.F, kOhm - 10 k (board: R187 22 k until reworked); with 470 nF / 4.7 uF / 10 k the loop reads f.cross 12.5 / 15.7 / 18.4 Hz, phase margin 55.6 / 54.1 / 52.2 deg, 3rd harmonic 2.2 / 2.9 / 3.5 % at CTR rank min / typ / max</t>
        </is>
      </c>
    </row>
    <row r="151">
      <c r="B151" s="8" t="inlineStr">
        <is>
          <t xml:space="preserve">CompensationNet&amp;Check</t>
        </is>
      </c>
      <c r="C151" s="8" t="inlineStr">
        <is>
          <t xml:space="preserve">F96</t>
        </is>
      </c>
      <c r="D151" s="8" t="inlineStr">
        <is>
          <t xml:space="preserve">1.55</t>
        </is>
      </c>
      <c r="E151" s="8" t="inlineStr">
        <is>
          <t xml:space="preserve">1.6</t>
        </is>
      </c>
      <c r="F151" s="8" t="inlineStr">
        <is>
          <t xml:space="preserve">C.fx, nF - 1.5 nF + 100 pF at the FB pin</t>
        </is>
      </c>
    </row>
    <row r="152">
      <c r="B152" s="8" t="inlineStr">
        <is>
          <t xml:space="preserve">CompensationNet&amp;Check</t>
        </is>
      </c>
      <c r="C152" s="8" t="inlineStr">
        <is>
          <t xml:space="preserve">D110</t>
        </is>
      </c>
      <c r="D152" s="8" t="inlineStr">
        <is>
          <t xml:space="preserve">47</t>
        </is>
      </c>
      <c r="E152" s="8" t="inlineStr">
        <is>
          <t xml:space="preserve">50</t>
        </is>
      </c>
      <c r="F152" s="8" t="inlineStr">
        <is>
          <t xml:space="preserve">fl, Hz - line frequency of the test (50 Hz)</t>
        </is>
      </c>
    </row>
    <row r="154">
      <c r="F154" s="8" t="inlineStr">
        <is>
          <t xml:space="preserve">bench book brought in line with the 670 W book, 2026-10-18 (user): the inputs that describe the same board hardware in both books now read the same; the measured transformer, the fitted control parts and the 200 W output bank stay as the bench has them.</t>
        </is>
      </c>
    </row>
    <row r="155">
      <c r="B155" s="8" t="inlineStr">
        <is>
          <t xml:space="preserve">Design Spec</t>
        </is>
      </c>
      <c r="C155" s="8" t="inlineStr">
        <is>
          <t xml:space="preserve">D47</t>
        </is>
      </c>
      <c r="D155" s="8" t="inlineStr">
        <is>
          <t xml:space="preserve">270</t>
        </is>
      </c>
      <c r="E155" s="8" t="inlineStr">
        <is>
          <t xml:space="preserve">220</t>
        </is>
      </c>
      <c r="F155" s="8" t="inlineStr">
        <is>
          <t xml:space="preserve">t.D, ns - the design dead time of the SMath sheets and the 670 W book (the IC dead time is adaptive, 40-420 ns); LGE typed 270</t>
        </is>
      </c>
    </row>
    <row r="156">
      <c r="B156" s="8" t="inlineStr">
        <is>
          <t xml:space="preserve">Design Spec</t>
        </is>
      </c>
      <c r="C156" s="8" t="inlineStr">
        <is>
          <t xml:space="preserve">D29</t>
        </is>
      </c>
      <c r="D156" s="8" t="inlineStr">
        <is>
          <t xml:space="preserve">30</t>
        </is>
      </c>
      <c r="E156" s="8" t="inlineStr">
        <is>
          <t xml:space="preserve">37</t>
        </is>
      </c>
      <c r="F156" s="8" t="inlineStr">
        <is>
          <t xml:space="preserve">h, mm - Rubycon PX 6800 uF / 35 V, 18 x 35.5 mm, L + alpha max 37</t>
        </is>
      </c>
    </row>
    <row r="157">
      <c r="B157" s="8" t="inlineStr">
        <is>
          <t xml:space="preserve">Power Components</t>
        </is>
      </c>
      <c r="C157" s="8" t="inlineStr">
        <is>
          <t xml:space="preserve">D25</t>
        </is>
      </c>
      <c r="D157" s="8" t="inlineStr">
        <is>
          <t xml:space="preserve">30</t>
        </is>
      </c>
      <c r="E157" s="8" t="inlineStr">
        <is>
          <t xml:space="preserve">50.7</t>
        </is>
      </c>
      <c r="F157" s="8" t="inlineStr">
        <is>
          <t xml:space="preserve">ESR.single, mOhm - PX tan d 0.26 (0.14 + 0.02 per 1000 uF over 1000) at 120 Hz; no ESR at f.sw in the PX sheet, so an upper bound</t>
        </is>
      </c>
    </row>
    <row r="158">
      <c r="B158" s="8" t="inlineStr">
        <is>
          <t xml:space="preserve">Power Components</t>
        </is>
      </c>
      <c r="C158" s="8" t="inlineStr">
        <is>
          <t xml:space="preserve">D58</t>
        </is>
      </c>
      <c r="D158" s="8" t="inlineStr">
        <is>
          <t xml:space="preserve">1.8</t>
        </is>
      </c>
      <c r="E158" s="8" t="inlineStr">
        <is>
          <t xml:space="preserve">1.9</t>
        </is>
      </c>
      <c r="F158" s="8" t="inlineStr">
        <is>
          <t xml:space="preserve">kT.pri - STO60N045DM9 datasheet, as the guide and 670 W books (fet_xl.py)</t>
        </is>
      </c>
    </row>
    <row r="159">
      <c r="B159" s="8" t="inlineStr">
        <is>
          <t xml:space="preserve">Power Components</t>
        </is>
      </c>
      <c r="C159" s="8" t="inlineStr">
        <is>
          <t xml:space="preserve">D72</t>
        </is>
      </c>
      <c r="D159" s="8" t="inlineStr">
        <is>
          <t xml:space="preserve">10</t>
        </is>
      </c>
      <c r="E159" s="8" t="inlineStr">
        <is>
          <t xml:space="preserve">2600</t>
        </is>
      </c>
      <c r="F159" s="8" t="inlineStr">
        <is>
          <t xml:space="preserve">Cpar, pF - 100 layout + 2200 leg snubber (C115/C117) + 2 x 150 drain-source (C127-C130): the parasitic that c.HB 5529 pF (D46) already contains; feeds D77 for the dv/dt</t>
        </is>
      </c>
    </row>
    <row r="161">
      <c r="F161" s="8" t="inlineStr">
        <is>
          <t xml:space="preserve">c.HB corrected to 3329 pF, 2026-10-18 (user): C115/C117 2.2 nF are across each leg, bus to ground - they do not load the half-bridge midpoint. The 670 W book carries the same 3329 pF.</t>
        </is>
      </c>
    </row>
    <row r="162">
      <c r="B162" s="8" t="inlineStr">
        <is>
          <t xml:space="preserve">Design Spec</t>
        </is>
      </c>
      <c r="C162" s="8" t="inlineStr">
        <is>
          <t xml:space="preserve">D46</t>
        </is>
      </c>
      <c r="D162" s="8" t="inlineStr">
        <is>
          <t xml:space="preserve">5529</t>
        </is>
      </c>
      <c r="E162" s="8" t="inlineStr">
        <is>
          <t xml:space="preserve">3329</t>
        </is>
      </c>
      <c r="F162" s="8" t="inlineStr">
        <is>
          <t xml:space="preserve">c.HB, pF - 2 x Coss(tr) 897 pF x 400 / 245 V = 2929 + 100 layout + 2 x 150 drain-source (C127-C130). C115/C117 2.2 nF are across each leg (VBUS-PGND), not at the midpoint - the 5529 of 10-16 was that misread</t>
        </is>
      </c>
    </row>
    <row r="163">
      <c r="B163" s="8" t="inlineStr">
        <is>
          <t xml:space="preserve">Power Components</t>
        </is>
      </c>
      <c r="C163" s="8" t="inlineStr">
        <is>
          <t xml:space="preserve">D72</t>
        </is>
      </c>
      <c r="D163" s="8" t="inlineStr">
        <is>
          <t xml:space="preserve">2600</t>
        </is>
      </c>
      <c r="E163" s="8" t="inlineStr">
        <is>
          <t xml:space="preserve">400</t>
        </is>
      </c>
      <c r="F163" s="8" t="inlineStr">
        <is>
          <t xml:space="preserve">Cpar, pF - 100 layout + 2 x 150 drain-source; the leg capacitors do not count</t>
        </is>
      </c>
    </row>
    <row r="165">
      <c r="F165"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66">
      <c r="B166" s="8" t="inlineStr">
        <is>
          <t xml:space="preserve">Res. Tank Design</t>
        </is>
      </c>
      <c r="C166" s="8" t="inlineStr">
        <is>
          <t xml:space="preserve">D73:D79</t>
        </is>
      </c>
      <c r="F166" s="8" t="inlineStr">
        <is>
          <t xml:space="preserve">I.Lm.pk, I.Lm.zc, ld.add, Ilr.pk at 25/50/75/100 %</t>
        </is>
      </c>
    </row>
    <row r="167">
      <c r="B167" s="8" t="inlineStr">
        <is>
          <t xml:space="preserve">CC</t>
        </is>
      </c>
      <c r="C167" s="8" t="inlineStr">
        <is>
          <t xml:space="preserve">B59:G74</t>
        </is>
      </c>
      <c r="F167" s="8" t="inlineStr">
        <is>
          <t xml:space="preserve">working: cubic, fsw, Itrafo.pk, Ilm.pk, r.mix, composite peak</t>
        </is>
      </c>
    </row>
    <row r="169">
      <c r="F169" s="8" t="inlineStr">
        <is>
          <t xml:space="preserve">gate driver selection in the switch section, start-up in Res. Tank Design - ADDED (user, 2026-10-22). Power Components rows inserted (xl_rows.py, every reference followed): 76-82 the switch gate data (STO60N045DM9: C.g 7.5 nF Qg slope, C.gs 4.76 nF, R.g 4.5, V.pl 6.3, V.th 4.0 / 3.5, Q.gd 13 nC); 88-137 LLC Half Bridge Gate Driver Selection - part number, driver datasheet values (L6498LD: 1.4 / 1.55 A at 15 V, 10-20 V, 85 ns, MT 30 ns, no internal dead time, 800 kHz, 0.6 mA, 120 K/W, 125 C, V.BO 9.3 V), gate network (Value = recommendation, Selected Value = LGE bench board: VCC_GD 18 V, R115 47 ohm, R114 10 ohm + 1N4148WS, C63/C72 100 nF, MURS160 (V.F 1.0 V), boot resistor R113/R155 10 -&gt; 3.3 ohm (user, 2026-10-21), G = OK / CHECK and the allowed range), results with G = OK / CHECK and the limit, schematic at column H. Old rows 76-80 are now 83-87 and old 81-119 (the secondary section) 138-176; CHANGELOG entries above this line name the old rows. Res. Tank Design 81-87: start-up I.su, k.su.OCP2, k.su.OCP1, f.su.OCP1. CC 77-139: the working (gate_budget.py model).</t>
        </is>
      </c>
    </row>
    <row r="170">
      <c r="B170" s="8" t="inlineStr">
        <is>
          <t xml:space="preserve">Power Components</t>
        </is>
      </c>
      <c r="C170" s="8" t="inlineStr">
        <is>
          <t xml:space="preserve">B76:E82</t>
        </is>
      </c>
      <c r="F170" s="8" t="inlineStr">
        <is>
          <t xml:space="preserve">switch gate data (yellow)</t>
        </is>
      </c>
    </row>
    <row r="171">
      <c r="B171" s="8" t="inlineStr">
        <is>
          <t xml:space="preserve">Power Components</t>
        </is>
      </c>
      <c r="C171" s="8" t="inlineStr">
        <is>
          <t xml:space="preserve">B88:G137</t>
        </is>
      </c>
      <c r="F171" s="8" t="inlineStr">
        <is>
          <t xml:space="preserve">gate driver selection</t>
        </is>
      </c>
    </row>
    <row r="172">
      <c r="B172" s="8" t="inlineStr">
        <is>
          <t xml:space="preserve">Res. Tank Design</t>
        </is>
      </c>
      <c r="C172" s="8" t="inlineStr">
        <is>
          <t xml:space="preserve">B81:F87</t>
        </is>
      </c>
      <c r="F172" s="8" t="inlineStr">
        <is>
          <t xml:space="preserve">start-up: I.su, k.su.OCP2, k.su.OCP1, f.su.OCP1</t>
        </is>
      </c>
    </row>
    <row r="173">
      <c r="B173" s="8" t="inlineStr">
        <is>
          <t xml:space="preserve">CC</t>
        </is>
      </c>
      <c r="C173" s="8" t="inlineStr">
        <is>
          <t xml:space="preserve">B77:D139</t>
        </is>
      </c>
      <c r="F173"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MAX(CC!$C$80,SQRT(2)*'Design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Setting'!$D$49*D52/MAX(CC!$C$80,SQRT(2)*'Design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76"/>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inlineStr">
        <is>
          <t xml:space="preserve">GBU1006 x2 (AC pins paired)</t>
        </is>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spans="2:14" ht="15.75" customHeight="1">
      <c r="B83" s="20" t="s">
        <v>356</v>
      </c>
      <c r="C83" s="20" t="s">
        <v>132</v>
      </c>
      <c r="D83" s="20" t="s">
        <v>133</v>
      </c>
      <c r="E83" s="20" t="s">
        <v>134</v>
      </c>
      <c r="F83" s="76"/>
      <c r="G83" s="76"/>
      <c r="H83" s="76"/>
      <c r="I83" s="76"/>
      <c r="J83" s="76"/>
      <c r="K83" s="76"/>
      <c r="L83" s="76"/>
      <c r="M83" s="76"/>
      <c r="N83" s="76"/>
    </row>
    <row r="84" spans="2:14" ht="14.25" customHeight="1">
      <c r="B84" s="1" t="s">
        <v>426</v>
      </c>
      <c r="C84" s="1" t="s">
        <v>427</v>
      </c>
      <c r="D84" s="1">
        <f>(2*D71)+D72</f>
        <v>1804</v>
      </c>
      <c r="E84" s="1" t="s">
        <v>194</v>
      </c>
      <c r="F84" s="76"/>
      <c r="G84" s="76"/>
      <c r="H84" s="76"/>
      <c r="I84" s="76"/>
      <c r="J84" s="76"/>
      <c r="K84" s="76"/>
      <c r="L84" s="76"/>
      <c r="M84" s="76"/>
      <c r="N84" s="76"/>
    </row>
    <row r="85" spans="2:14" ht="15" customHeight="1">
      <c r="B85" s="1" t="s">
        <v>1193</v>
      </c>
      <c r="C85" s="1" t="s">
        <v>428</v>
      </c>
      <c r="D85" s="200">
        <f>D70*D58*D62^2</f>
        <v>4.8234434836050069</v>
      </c>
      <c r="E85" s="1" t="s">
        <v>161</v>
      </c>
      <c r="F85" s="76"/>
      <c r="G85" s="76"/>
      <c r="H85" s="76"/>
      <c r="I85" s="76"/>
      <c r="J85" s="76"/>
      <c r="K85" s="76"/>
      <c r="L85" s="76"/>
      <c r="M85" s="76"/>
      <c r="N85" s="76"/>
    </row>
    <row r="86" spans="2:14" ht="15" customHeight="1">
      <c r="B86" s="1" t="s">
        <v>1194</v>
      </c>
      <c r="C86" s="1" t="s">
        <v>1195</v>
      </c>
      <c r="D86" s="200">
        <f>D70*D58*(D60/D68)^2</f>
        <v>9.6468869672100155</v>
      </c>
      <c r="E86" s="1" t="s">
        <v>161</v>
      </c>
      <c r="F86" s="76"/>
      <c r="G86" s="76"/>
      <c r="H86" s="76"/>
      <c r="I86" s="76"/>
      <c r="J86" s="76"/>
      <c r="K86" s="76"/>
      <c r="L86" s="76"/>
      <c r="M86" s="76"/>
      <c r="N86" s="76"/>
    </row>
    <row r="87" spans="2:14" ht="14.25" customHeight="1">
      <c r="B87" s="1" t="s">
        <v>1211</v>
      </c>
      <c r="C87" s="1" t="s">
        <v>429</v>
      </c>
      <c r="D87" s="200">
        <f>(125-D73)/MAX(D85,D86)</f>
        <v>10.366038323026094</v>
      </c>
      <c r="E87" s="1" t="s">
        <v>430</v>
      </c>
      <c r="F87" s="76"/>
      <c r="G87" s="76"/>
      <c r="H87" s="76"/>
      <c r="I87" s="76"/>
      <c r="J87" s="76"/>
      <c r="K87" s="76"/>
      <c r="L87" s="76"/>
      <c r="M87" s="76"/>
      <c r="N87" s="76"/>
    </row>
    <row r="88">
      <c r="B88" s="19" t="inlineStr">
        <is>
          <t xml:space="preserve">LLC Half Bridge Gate Driver Selection</t>
        </is>
      </c>
    </row>
    <row r="89">
      <c r="B89" s="20" t="inlineStr">
        <is>
          <t xml:space="preserve">Please Select a dedicated Gate Driver part number </t>
        </is>
      </c>
      <c r="C89" s="202" t="inlineStr">
        <is>
          <t xml:space="preserve">L6498LD</t>
        </is>
      </c>
      <c r="D89" s="202"/>
      <c r="E89" s="202"/>
    </row>
    <row r="90">
      <c r="B90" s="20" t="inlineStr">
        <is>
          <t xml:space="preserve">Parameter</t>
        </is>
      </c>
      <c r="C90" s="20" t="inlineStr">
        <is>
          <t xml:space="preserve">Name</t>
        </is>
      </c>
      <c r="D90" s="20" t="inlineStr">
        <is>
          <t xml:space="preserve">Value</t>
        </is>
      </c>
      <c r="E90" s="20" t="inlineStr">
        <is>
          <t xml:space="preserve">Unit</t>
        </is>
      </c>
    </row>
    <row r="91">
      <c r="B91" s="1" t="inlineStr">
        <is>
          <t xml:space="preserve">Source current, min (full temperature)</t>
        </is>
      </c>
      <c r="C91" s="1" t="inlineStr">
        <is>
          <t xml:space="preserve">I.so</t>
        </is>
      </c>
      <c r="D91" s="2">
        <v>1.4</v>
      </c>
      <c r="E91" s="26" t="inlineStr">
        <is>
          <t xml:space="preserve">A</t>
        </is>
      </c>
    </row>
    <row r="92">
      <c r="B92" s="1" t="inlineStr">
        <is>
          <t xml:space="preserve">Sink current, min (full temperature)</t>
        </is>
      </c>
      <c r="C92" s="1" t="inlineStr">
        <is>
          <t xml:space="preserve">I.si</t>
        </is>
      </c>
      <c r="D92" s="2">
        <v>1.55</v>
      </c>
      <c r="E92" s="26" t="inlineStr">
        <is>
          <t xml:space="preserve">A</t>
        </is>
      </c>
    </row>
    <row r="93">
      <c r="B93" s="1" t="inlineStr">
        <is>
          <t xml:space="preserve">Supply voltage those currents are given at</t>
        </is>
      </c>
      <c r="C93" s="1" t="inlineStr">
        <is>
          <t xml:space="preserve">V.test</t>
        </is>
      </c>
      <c r="D93" s="2">
        <v>15</v>
      </c>
      <c r="E93" s="26" t="inlineStr">
        <is>
          <t xml:space="preserve">V</t>
        </is>
      </c>
    </row>
    <row r="94">
      <c r="B94" s="1" t="inlineStr">
        <is>
          <t xml:space="preserve">Supply voltage, recommended min</t>
        </is>
      </c>
      <c r="C94" s="1" t="inlineStr">
        <is>
          <t xml:space="preserve">V.cc.min</t>
        </is>
      </c>
      <c r="D94" s="2">
        <v>10</v>
      </c>
      <c r="E94" s="26" t="inlineStr">
        <is>
          <t xml:space="preserve">V</t>
        </is>
      </c>
    </row>
    <row r="95">
      <c r="B95" s="1" t="inlineStr">
        <is>
          <t xml:space="preserve">Supply voltage, recommended max</t>
        </is>
      </c>
      <c r="C95" s="1" t="inlineStr">
        <is>
          <t xml:space="preserve">V.cc.max</t>
        </is>
      </c>
      <c r="D95" s="2">
        <v>20</v>
      </c>
      <c r="E95" s="26" t="inlineStr">
        <is>
          <t xml:space="preserve">V</t>
        </is>
      </c>
    </row>
    <row r="96">
      <c r="B96" s="1" t="inlineStr">
        <is>
          <t xml:space="preserve">Propagation delay, typ</t>
        </is>
      </c>
      <c r="C96" s="1" t="inlineStr">
        <is>
          <t xml:space="preserve">t.pd</t>
        </is>
      </c>
      <c r="D96" s="2">
        <v>85</v>
      </c>
      <c r="E96" s="26" t="inlineStr">
        <is>
          <t xml:space="preserve">ns</t>
        </is>
      </c>
    </row>
    <row r="97">
      <c r="B97" s="1" t="inlineStr">
        <is>
          <t xml:space="preserve">Delay matching, max</t>
        </is>
      </c>
      <c r="C97" s="1" t="inlineStr">
        <is>
          <t xml:space="preserve">MT</t>
        </is>
      </c>
      <c r="D97" s="2">
        <v>30</v>
      </c>
      <c r="E97" s="26" t="inlineStr">
        <is>
          <t xml:space="preserve">ns</t>
        </is>
      </c>
    </row>
    <row r="98">
      <c r="B98" s="1" t="inlineStr">
        <is>
          <t xml:space="preserve">Internal dead time (0 = none, interlocking only)</t>
        </is>
      </c>
      <c r="C98" s="1" t="inlineStr">
        <is>
          <t xml:space="preserve">t.DT</t>
        </is>
      </c>
      <c r="D98" s="2">
        <v>0</v>
      </c>
      <c r="E98" s="26" t="inlineStr">
        <is>
          <t xml:space="preserve">ns</t>
        </is>
      </c>
    </row>
    <row r="99">
      <c r="B99" s="1" t="inlineStr">
        <is>
          <t xml:space="preserve">Maximum switching frequency</t>
        </is>
      </c>
      <c r="C99" s="1" t="inlineStr">
        <is>
          <t xml:space="preserve">f.max</t>
        </is>
      </c>
      <c r="D99" s="2">
        <v>800</v>
      </c>
      <c r="E99" s="26" t="inlineStr">
        <is>
          <t xml:space="preserve">kHz</t>
        </is>
      </c>
    </row>
    <row r="100">
      <c r="B100" s="1" t="inlineStr">
        <is>
          <t xml:space="preserve">Quiescent current, VCC + floating, max</t>
        </is>
      </c>
      <c r="C100" s="1" t="inlineStr">
        <is>
          <t xml:space="preserve">I.Q</t>
        </is>
      </c>
      <c r="D100" s="2">
        <v>0.6</v>
      </c>
      <c r="E100" s="26" t="inlineStr">
        <is>
          <t xml:space="preserve">mA</t>
        </is>
      </c>
    </row>
    <row r="101">
      <c r="B101" s="1" t="inlineStr">
        <is>
          <t xml:space="preserve">Thermal resistance junction-ambient</t>
        </is>
      </c>
      <c r="C101" s="1" t="inlineStr">
        <is>
          <t xml:space="preserve">Rth.drv</t>
        </is>
      </c>
      <c r="D101" s="2">
        <v>120</v>
      </c>
      <c r="E101" s="26" t="inlineStr">
        <is>
          <t xml:space="preserve">˚C/W</t>
        </is>
      </c>
    </row>
    <row r="102">
      <c r="B102" s="1" t="inlineStr">
        <is>
          <t xml:space="preserve">Junction temperature, recommended max</t>
        </is>
      </c>
      <c r="C102" s="1" t="inlineStr">
        <is>
          <t xml:space="preserve">Tj.max</t>
        </is>
      </c>
      <c r="D102" s="2">
        <v>125</v>
      </c>
      <c r="E102" s="26" t="inlineStr">
        <is>
          <t xml:space="preserve">˚C</t>
        </is>
      </c>
    </row>
    <row r="103">
      <c r="B103" s="1" t="inlineStr">
        <is>
          <t xml:space="preserve">Floating (bootstrap) supply, recommended min</t>
        </is>
      </c>
      <c r="C103" s="1" t="inlineStr">
        <is>
          <t xml:space="preserve">V.bo.min</t>
        </is>
      </c>
      <c r="D103" s="2">
        <v>9.3</v>
      </c>
      <c r="E103" s="26" t="inlineStr">
        <is>
          <t xml:space="preserve">V</t>
        </is>
      </c>
    </row>
    <row r="104">
      <c r="B104" s="20" t="inlineStr">
        <is>
          <t xml:space="preserve">Parameters</t>
        </is>
      </c>
      <c r="C104" s="20" t="inlineStr">
        <is>
          <t xml:space="preserve">Name</t>
        </is>
      </c>
      <c r="D104" s="20" t="inlineStr">
        <is>
          <t xml:space="preserve">Value</t>
        </is>
      </c>
      <c r="E104" s="20" t="inlineStr">
        <is>
          <t xml:space="preserve">Unit</t>
        </is>
      </c>
      <c r="F104" s="20" t="inlineStr">
        <is>
          <t xml:space="preserve">Selected Value</t>
        </is>
      </c>
    </row>
    <row r="105">
      <c r="B105" s="1" t="inlineStr">
        <is>
          <t xml:space="preserve">Maximum gate drive voltage (driver supply range)</t>
        </is>
      </c>
      <c r="C105" s="1" t="inlineStr">
        <is>
          <t xml:space="preserve">V.drv.max</t>
        </is>
      </c>
      <c r="D105" s="49">
        <f>CC!$C$85</f>
      </c>
      <c r="E105" s="26" t="inlineStr">
        <is>
          <t xml:space="preserve">V</t>
        </is>
      </c>
    </row>
    <row r="106">
      <c r="B106" s="1" t="inlineStr">
        <is>
          <t xml:space="preserve">Minimum gate drive voltage (10 V at the high-side gate)</t>
        </is>
      </c>
      <c r="C106" s="1" t="inlineStr">
        <is>
          <t xml:space="preserve">V.drv.min</t>
        </is>
      </c>
      <c r="D106" s="49">
        <f>CC!$C$84</f>
      </c>
      <c r="E106" s="26" t="inlineStr">
        <is>
          <t xml:space="preserve">V</t>
        </is>
      </c>
    </row>
    <row r="107">
      <c r="B107" s="1" t="inlineStr">
        <is>
          <t xml:space="preserve">Select V.drv between V.drv.min and V.drv.max</t>
        </is>
      </c>
      <c r="C107" s="1" t="inlineStr">
        <is>
          <t xml:space="preserve">V.drv</t>
        </is>
      </c>
      <c r="D107" s="49"/>
      <c r="E107" s="26" t="inlineStr">
        <is>
          <t xml:space="preserve">V</t>
        </is>
      </c>
      <c r="F107" s="2">
        <v>18.0</v>
      </c>
    </row>
    <row r="108">
      <c r="B108" s="1" t="inlineStr">
        <is>
          <t xml:space="preserve">Maximum turn-on resistor (gate at 10 V within the start-up pulse)</t>
        </is>
      </c>
      <c r="C108" s="1" t="inlineStr">
        <is>
          <t xml:space="preserve">R.on.max</t>
        </is>
      </c>
      <c r="D108" s="49">
        <f>CC!$C$105</f>
      </c>
      <c r="E108" s="26" t="inlineStr">
        <is>
          <t xml:space="preserve">Ω</t>
        </is>
      </c>
    </row>
    <row r="109">
      <c r="B109" s="1" t="inlineStr">
        <is>
          <t xml:space="preserve">Minimum turn-on resistor (driver temperature)</t>
        </is>
      </c>
      <c r="C109" s="1" t="inlineStr">
        <is>
          <t xml:space="preserve">R.on.min</t>
        </is>
      </c>
      <c r="D109" s="49">
        <f>CC!$C$104</f>
      </c>
      <c r="E109" s="26" t="inlineStr">
        <is>
          <t xml:space="preserve">Ω</t>
        </is>
      </c>
    </row>
    <row r="110">
      <c r="B110" s="1" t="inlineStr">
        <is>
          <t xml:space="preserve">Select R.on between R.on.min and R.on.max (Value: E12)</t>
        </is>
      </c>
      <c r="C110" s="1" t="inlineStr">
        <is>
          <t xml:space="preserve">R.on</t>
        </is>
      </c>
      <c r="D110" s="49">
        <f>CC!$C$106</f>
      </c>
      <c r="E110" s="26" t="inlineStr">
        <is>
          <t xml:space="preserve">Ω</t>
        </is>
      </c>
      <c r="F110" s="2">
        <v>47.0</v>
      </c>
    </row>
    <row r="111">
      <c r="B111" s="1" t="inlineStr">
        <is>
          <t xml:space="preserve">Maximum turn-off path resistance (off before the swing ends and the other side is on)</t>
        </is>
      </c>
      <c r="C111" s="1" t="inlineStr">
        <is>
          <t xml:space="preserve">R.off.eff.max</t>
        </is>
      </c>
      <c r="D111" s="49">
        <f>CC!$C$125</f>
      </c>
      <c r="E111" s="26" t="inlineStr">
        <is>
          <t xml:space="preserve">Ω</t>
        </is>
      </c>
    </row>
    <row r="112">
      <c r="B112" s="1" t="inlineStr">
        <is>
          <t xml:space="preserve">Turn-off: D.off forward voltage (0 = separate GOFF pin, no D.off)</t>
        </is>
      </c>
      <c r="C112" s="1" t="inlineStr">
        <is>
          <t xml:space="preserve">V.F</t>
        </is>
      </c>
      <c r="D112" s="49"/>
      <c r="E112" s="26" t="inlineStr">
        <is>
          <t xml:space="preserve">V</t>
        </is>
      </c>
      <c r="F112" s="2">
        <v>0.7</v>
      </c>
    </row>
    <row r="113">
      <c r="B113" s="1" t="inlineStr">
        <is>
          <t xml:space="preserve">Select R.off: with D.off || R.on, or alone on GOFF (Value: E12)</t>
        </is>
      </c>
      <c r="C113" s="1" t="inlineStr">
        <is>
          <t xml:space="preserve">R.off</t>
        </is>
      </c>
      <c r="D113" s="49">
        <f>CC!$C$127</f>
      </c>
      <c r="E113" s="26" t="inlineStr">
        <is>
          <t xml:space="preserve">Ω</t>
        </is>
      </c>
      <c r="F113" s="2">
        <v>10.0</v>
      </c>
    </row>
    <row r="114">
      <c r="B114" s="1" t="inlineStr">
        <is>
          <t xml:space="preserve">Minimum gate-source capacitor (0 = none needed)</t>
        </is>
      </c>
      <c r="C114" s="1" t="inlineStr">
        <is>
          <t xml:space="preserve">C.gs.min</t>
        </is>
      </c>
      <c r="D114" s="49">
        <f>CC!$C$113</f>
      </c>
      <c r="E114" s="26" t="inlineStr">
        <is>
          <t xml:space="preserve">nF</t>
        </is>
      </c>
    </row>
    <row r="115">
      <c r="B115" s="1" t="inlineStr">
        <is>
          <t xml:space="preserve">Select C.gs (Value: E6)</t>
        </is>
      </c>
      <c r="C115" s="1" t="inlineStr">
        <is>
          <t xml:space="preserve">C.gs</t>
        </is>
      </c>
      <c r="D115" s="49">
        <f>CC!$C$114</f>
      </c>
      <c r="E115" s="26" t="inlineStr">
        <is>
          <t xml:space="preserve">nF</t>
        </is>
      </c>
      <c r="F115" s="2">
        <v>0</v>
      </c>
    </row>
    <row r="116">
      <c r="B116" s="1" t="inlineStr">
        <is>
          <t xml:space="preserve">Maximum bootstrap capacitor (first LOUT pulse charges it to V.bo.min)</t>
        </is>
      </c>
      <c r="C116" s="1" t="inlineStr">
        <is>
          <t xml:space="preserve">C.boot.max</t>
        </is>
      </c>
      <c r="D116" s="49">
        <f>CC!$C$129</f>
      </c>
      <c r="E116" s="26" t="inlineStr">
        <is>
          <t xml:space="preserve">nF</t>
        </is>
      </c>
    </row>
    <row r="117">
      <c r="B117" s="1" t="inlineStr">
        <is>
          <t xml:space="preserve">Minimum bootstrap capacitor (10 x gate capacitance)</t>
        </is>
      </c>
      <c r="C117" s="1" t="inlineStr">
        <is>
          <t xml:space="preserve">C.boot.min</t>
        </is>
      </c>
      <c r="D117" s="49">
        <f>CC!$C$128</f>
      </c>
      <c r="E117" s="26" t="inlineStr">
        <is>
          <t xml:space="preserve">nF</t>
        </is>
      </c>
    </row>
    <row r="118">
      <c r="B118" s="1" t="inlineStr">
        <is>
          <t xml:space="preserve">Select C.boot between C.boot.min and C.boot.max (Value: E6)</t>
        </is>
      </c>
      <c r="C118" s="1" t="inlineStr">
        <is>
          <t xml:space="preserve">C.boot</t>
        </is>
      </c>
      <c r="D118" s="49">
        <f>CC!$C$130</f>
      </c>
      <c r="E118" s="26" t="inlineStr">
        <is>
          <t xml:space="preserve">nF</t>
        </is>
      </c>
      <c r="F118" s="2">
        <v>100</v>
      </c>
    </row>
    <row r="119">
      <c r="B119" s="1" t="inlineStr">
        <is>
          <t xml:space="preserve">Maximum bootstrap resistor (first LOUT pulse charges C.boot to V.bo.min)</t>
        </is>
      </c>
      <c r="C119" s="1" t="inlineStr">
        <is>
          <t xml:space="preserve">R.boot.max</t>
        </is>
      </c>
      <c r="D119" s="49">
        <f>CC!$C$132</f>
      </c>
      <c r="E119" s="26" t="inlineStr">
        <is>
          <t xml:space="preserve">Ω</t>
        </is>
      </c>
    </row>
    <row r="120">
      <c r="B120" s="1" t="inlineStr">
        <is>
          <t xml:space="preserve">Select R.boot, 0 = diode alone (Value: E12)</t>
        </is>
      </c>
      <c r="C120" s="1" t="inlineStr">
        <is>
          <t xml:space="preserve">R.boot</t>
        </is>
      </c>
      <c r="D120" s="49">
        <f>CC!$C$133</f>
      </c>
      <c r="E120" s="26" t="inlineStr">
        <is>
          <t xml:space="preserve">Ω</t>
        </is>
      </c>
      <c r="F120" s="2">
        <v>3.3</v>
      </c>
    </row>
    <row r="121">
      <c r="B121" s="1" t="inlineStr">
        <is>
          <t xml:space="preserve">D.boot forward voltage</t>
        </is>
      </c>
      <c r="C121" s="1" t="inlineStr">
        <is>
          <t xml:space="preserve">V.F.boot</t>
        </is>
      </c>
      <c r="D121" s="49"/>
      <c r="E121" s="26" t="inlineStr">
        <is>
          <t xml:space="preserve">V</t>
        </is>
      </c>
      <c r="F121" s="2">
        <v>1.0</v>
      </c>
    </row>
    <row r="122">
      <c r="B122" s="20" t="inlineStr">
        <is>
          <t xml:space="preserve">Parameters</t>
        </is>
      </c>
      <c r="C122" s="20" t="inlineStr">
        <is>
          <t xml:space="preserve">Name</t>
        </is>
      </c>
      <c r="D122" s="20" t="inlineStr">
        <is>
          <t xml:space="preserve">Value</t>
        </is>
      </c>
      <c r="E122" s="20" t="inlineStr">
        <is>
          <t xml:space="preserve">Unit</t>
        </is>
      </c>
      <c r="F122" s="20" t="inlineStr">
        <is>
          <t xml:space="preserve">Check</t>
        </is>
      </c>
    </row>
    <row r="123">
      <c r="B123" s="1" t="inlineStr">
        <is>
          <t xml:space="preserve">Turn-off path resistance (&lt;= R.off.eff.max)</t>
        </is>
      </c>
      <c r="C123" s="1" t="inlineStr">
        <is>
          <t xml:space="preserve">R.off.eff</t>
        </is>
      </c>
      <c r="D123" s="49">
        <f>CC!$C$88</f>
      </c>
      <c r="E123" s="26" t="inlineStr">
        <is>
          <t xml:space="preserve">Ω</t>
        </is>
      </c>
      <c r="F123" s="1">
        <f>IF(D123&lt;=D111,"OK","CHECK")</f>
      </c>
    </row>
    <row r="124">
      <c r="B124" s="1" t="inlineStr">
        <is>
          <t xml:space="preserve">Dead time needed in run (IC ADT 40-420 ns, or the driver t.DT)</t>
        </is>
      </c>
      <c r="C124" s="1" t="inlineStr">
        <is>
          <t xml:space="preserve">t.D.need</t>
        </is>
      </c>
      <c r="D124" s="49">
        <f>CC!$C$119</f>
      </c>
      <c r="E124" s="26" t="inlineStr">
        <is>
          <t xml:space="preserve">ns</t>
        </is>
      </c>
    </row>
    <row r="125">
      <c r="B125" s="1" t="inlineStr">
        <is>
          <t xml:space="preserve">Dead time allowed in run (gate on before the current reverses)</t>
        </is>
      </c>
      <c r="C125" s="1" t="inlineStr">
        <is>
          <t xml:space="preserve">t.D.max</t>
        </is>
      </c>
      <c r="D125" s="49">
        <f>CC!$C$120</f>
      </c>
      <c r="E125" s="26" t="inlineStr">
        <is>
          <t xml:space="preserve">ns</t>
        </is>
      </c>
    </row>
    <row r="126">
      <c r="B126" s="1" t="inlineStr">
        <is>
          <t xml:space="preserve">Dead time margin, need vs. IC / driver and vs. t.D.max (&gt;1)</t>
        </is>
      </c>
      <c r="C126" s="1" t="inlineStr">
        <is>
          <t xml:space="preserve">k.tD</t>
        </is>
      </c>
      <c r="D126" s="49">
        <f>CC!$C$121</f>
      </c>
      <c r="E126" s="26" t="inlineStr">
        <is>
          <t xml:space="preserve">-</t>
        </is>
      </c>
      <c r="F126" s="1">
        <f>IF(D126&gt;=1,"OK","CHECK")</f>
      </c>
    </row>
    <row r="127">
      <c r="B127" s="1" t="inlineStr">
        <is>
          <t xml:space="preserve">Gate voltage at the end of the start-up pulse (&gt;= 10 V)</t>
        </is>
      </c>
      <c r="C127" s="1" t="inlineStr">
        <is>
          <t xml:space="preserve">V.g.su</t>
        </is>
      </c>
      <c r="D127" s="49">
        <f>CC!$C$94</f>
      </c>
      <c r="E127" s="26" t="inlineStr">
        <is>
          <t xml:space="preserve">V</t>
        </is>
      </c>
      <c r="F127" s="1">
        <f>IF(D127&gt;=10,"OK","CHECK")</f>
      </c>
    </row>
    <row r="128">
      <c r="B128" s="1" t="inlineStr">
        <is>
          <t xml:space="preserve">V.BS after the first LOUT pulse (&gt;= V.bo.min)</t>
        </is>
      </c>
      <c r="C128" s="1" t="inlineStr">
        <is>
          <t xml:space="preserve">V.bs.1</t>
        </is>
      </c>
      <c r="D128" s="49">
        <f>CC!$C$134</f>
      </c>
      <c r="E128" s="26" t="inlineStr">
        <is>
          <t xml:space="preserve">V</t>
        </is>
      </c>
      <c r="F128" s="1">
        <f>IF(D128&gt;=D103,"OK","CHECK")</f>
      </c>
    </row>
    <row r="129">
      <c r="B129" s="1" t="inlineStr">
        <is>
          <t xml:space="preserve">V.BS lowest, steady at f.SU</t>
        </is>
      </c>
      <c r="C129" s="1" t="inlineStr">
        <is>
          <t xml:space="preserve">V.bs.min</t>
        </is>
      </c>
      <c r="D129" s="49">
        <f>CC!$C$136</f>
      </c>
      <c r="E129" s="26" t="inlineStr">
        <is>
          <t xml:space="preserve">V</t>
        </is>
      </c>
    </row>
    <row r="130">
      <c r="B130" s="1" t="inlineStr">
        <is>
          <t xml:space="preserve">Gate-off margin against the Miller kick (&gt;1)</t>
        </is>
      </c>
      <c r="C130" s="1" t="inlineStr">
        <is>
          <t xml:space="preserve">k.Miller</t>
        </is>
      </c>
      <c r="D130" s="49">
        <f>CC!$C$112</f>
      </c>
      <c r="E130" s="26" t="inlineStr">
        <is>
          <t xml:space="preserve">-</t>
        </is>
      </c>
      <c r="F130" s="1">
        <f>IF(D130&gt;=1,"OK","CHECK")</f>
      </c>
    </row>
    <row r="131">
      <c r="B131" s="1" t="inlineStr">
        <is>
          <t xml:space="preserve">Maximum driver dissipation at Ta (D73): (Tj.max - Ta) / Rth</t>
        </is>
      </c>
      <c r="C131" s="1" t="inlineStr">
        <is>
          <t xml:space="preserve">P.drv.max</t>
        </is>
      </c>
      <c r="D131" s="49">
        <f>CC!$C$101</f>
      </c>
      <c r="E131" s="26" t="inlineStr">
        <is>
          <t xml:space="preserve">W</t>
        </is>
      </c>
    </row>
    <row r="132">
      <c r="B132" s="1" t="inlineStr">
        <is>
          <t xml:space="preserve">Driver dissipation at f.Max, both sides (&lt;= P.drv.max)</t>
        </is>
      </c>
      <c r="C132" s="1" t="inlineStr">
        <is>
          <t xml:space="preserve">P.drv</t>
        </is>
      </c>
      <c r="D132" s="49">
        <f>CC!$C$100</f>
      </c>
      <c r="E132" s="26" t="inlineStr">
        <is>
          <t xml:space="preserve">W</t>
        </is>
      </c>
      <c r="F132" s="1">
        <f>IF(D132&lt;=D131,"OK","CHECK")</f>
      </c>
    </row>
    <row r="133">
      <c r="B133" s="1" t="inlineStr">
        <is>
          <t xml:space="preserve">Driver junction temperature at f.Max and Ta</t>
        </is>
      </c>
      <c r="C133" s="1" t="inlineStr">
        <is>
          <t xml:space="preserve">Tj.drv</t>
        </is>
      </c>
      <c r="D133" s="49">
        <f>CC!$C$139</f>
      </c>
      <c r="E133" s="26" t="inlineStr">
        <is>
          <t xml:space="preserve">˚C</t>
        </is>
      </c>
    </row>
    <row r="134">
      <c r="B134" s="1" t="inlineStr">
        <is>
          <t xml:space="preserve">Start-up frequency f.SU (&lt;= driver f.max and L6790A 675 kHz)</t>
        </is>
      </c>
      <c r="C134" s="1" t="inlineStr">
        <is>
          <t xml:space="preserve">f.SU</t>
        </is>
      </c>
      <c r="D134" s="49">
        <f>'Device Setting'!$D$29</f>
      </c>
      <c r="E134" s="26" t="inlineStr">
        <is>
          <t xml:space="preserve">kHz</t>
        </is>
      </c>
      <c r="F134" s="1">
        <f>IF(D134&lt;=MIN(D99,CC!$C$79),"OK","CHECK")</f>
      </c>
    </row>
    <row r="135">
      <c r="B135" s="1" t="inlineStr">
        <is>
          <t xml:space="preserve">R.on dissipation at f.Max (package rating &gt;= 2x)</t>
        </is>
      </c>
      <c r="C135" s="1" t="inlineStr">
        <is>
          <t xml:space="preserve">P.Ron</t>
        </is>
      </c>
      <c r="D135" s="49">
        <f>CC!$C$137</f>
      </c>
      <c r="E135" s="26" t="inlineStr">
        <is>
          <t xml:space="preserve">W</t>
        </is>
      </c>
    </row>
    <row r="136">
      <c r="B136" s="1" t="inlineStr">
        <is>
          <t xml:space="preserve">R.off dissipation at f.Max (package rating &gt;= 2x)</t>
        </is>
      </c>
      <c r="C136" s="1" t="inlineStr">
        <is>
          <t xml:space="preserve">P.Roff</t>
        </is>
      </c>
      <c r="D136" s="49">
        <f>CC!$C$138</f>
      </c>
      <c r="E136" s="26" t="inlineStr">
        <is>
          <t xml:space="preserve">W</t>
        </is>
      </c>
    </row>
    <row r="137"/>
    <row r="138" spans="2:14" ht="18" customHeight="1">
      <c r="B138"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38" s="19"/>
      <c r="F138" s="76"/>
      <c r="G138" s="76"/>
      <c r="H138" s="76"/>
      <c r="I138" s="76"/>
      <c r="J138" s="76"/>
      <c r="K138" s="76"/>
      <c r="L138" s="76"/>
      <c r="M138" s="76"/>
      <c r="N138" s="76"/>
    </row>
    <row r="139" spans="2:14" ht="14.25" customHeight="1">
      <c r="B139" s="1"/>
      <c r="C139" s="1"/>
      <c r="D139" s="77"/>
      <c r="E139" s="1"/>
      <c r="F139" s="76"/>
      <c r="G139" s="76"/>
      <c r="H139" s="76"/>
      <c r="I139" s="76"/>
      <c r="J139" s="76"/>
      <c r="K139" s="76"/>
      <c r="L139" s="76"/>
      <c r="M139" s="76"/>
      <c r="N139" s="76"/>
    </row>
    <row r="140" spans="2:14" ht="15.75" customHeight="1">
      <c r="B140" s="20" t="s">
        <v>356</v>
      </c>
      <c r="C140" s="20" t="s">
        <v>132</v>
      </c>
      <c r="D140" s="20" t="s">
        <v>133</v>
      </c>
      <c r="E140" s="20" t="s">
        <v>431</v>
      </c>
      <c r="F140" s="76"/>
      <c r="G140" s="76"/>
      <c r="H140" s="76"/>
      <c r="I140" s="76"/>
      <c r="J140" s="76"/>
      <c r="K140" s="76"/>
      <c r="L140" s="76"/>
      <c r="M140" s="76"/>
      <c r="N140" s="76"/>
    </row>
    <row r="141" spans="2:14" ht="15" customHeight="1">
      <c r="B141" s="1" t="s">
        <v>1086</v>
      </c>
      <c r="C141" s="1" t="s">
        <v>1187</v>
      </c>
      <c r="D141" s="49">
        <f>CC!J25</f>
        <v>28.329125161562832</v>
      </c>
      <c r="E141" s="1" t="s">
        <v>237</v>
      </c>
      <c r="F141" s="65"/>
      <c r="G141" s="76"/>
      <c r="H141" s="76"/>
      <c r="I141" s="76"/>
      <c r="J141" s="76"/>
      <c r="K141" s="76"/>
      <c r="L141" s="76"/>
      <c r="M141" s="76"/>
      <c r="N141" s="76"/>
    </row>
    <row r="142" spans="2:14" ht="15" customHeight="1">
      <c r="B142" s="1" t="s">
        <v>1087</v>
      </c>
      <c r="C142" s="1" t="s">
        <v>1188</v>
      </c>
      <c r="D142" s="49">
        <f>CC!J26</f>
        <v>28.329125161562832</v>
      </c>
      <c r="E142" s="1" t="s">
        <v>237</v>
      </c>
      <c r="F142" s="65"/>
      <c r="G142" s="76"/>
      <c r="H142" s="76"/>
      <c r="I142" s="76"/>
      <c r="J142" s="76"/>
      <c r="K142" s="76"/>
      <c r="L142" s="76"/>
      <c r="M142" s="76"/>
      <c r="N142" s="76"/>
    </row>
    <row r="143" spans="2:14" ht="15" customHeight="1">
      <c r="B143" s="1" t="s">
        <v>1088</v>
      </c>
      <c r="C143" s="1" t="s">
        <v>432</v>
      </c>
      <c r="D143" s="49">
        <f>CC!E24</f>
        <v>98.617963506893403</v>
      </c>
      <c r="E143" s="1" t="s">
        <v>237</v>
      </c>
      <c r="F143" s="76"/>
      <c r="G143" s="76"/>
      <c r="H143" s="76"/>
      <c r="I143" s="76"/>
      <c r="J143" s="76"/>
      <c r="K143" s="76"/>
      <c r="L143" s="76"/>
      <c r="M143" s="76"/>
      <c r="N143" s="76"/>
    </row>
    <row r="144" spans="2:14" ht="15" customHeight="1">
      <c r="B144" s="1" t="s">
        <v>1089</v>
      </c>
      <c r="C144" s="1" t="s">
        <v>1090</v>
      </c>
      <c r="D144" s="49">
        <f>IF(ISNUMBER(F142),F142,D142)/D160</f>
        <v>14.164562580781416</v>
      </c>
      <c r="E144" s="1" t="s">
        <v>237</v>
      </c>
      <c r="F144" s="76"/>
      <c r="G144" s="76"/>
      <c r="H144" s="76"/>
      <c r="I144" s="76"/>
      <c r="J144" s="76"/>
      <c r="K144" s="76"/>
      <c r="L144" s="76"/>
      <c r="M144" s="76"/>
      <c r="N144" s="76"/>
    </row>
    <row r="145" spans="2:14" ht="15" customHeight="1">
      <c r="B145" s="20" t="s">
        <v>356</v>
      </c>
      <c r="C145" s="20" t="s">
        <v>132</v>
      </c>
      <c r="D145" s="20" t="s">
        <v>133</v>
      </c>
      <c r="E145" s="20" t="s">
        <v>431</v>
      </c>
      <c r="F145" s="76"/>
      <c r="G145" s="76"/>
      <c r="H145" s="76"/>
      <c r="I145" s="76"/>
      <c r="J145" s="76"/>
      <c r="K145" s="76"/>
      <c r="L145" s="76"/>
      <c r="M145" s="76"/>
      <c r="N145" s="76"/>
    </row>
    <row r="146" spans="2:14" ht="15" customHeight="1">
      <c r="B146" s="1" t="s">
        <v>1091</v>
      </c>
      <c r="C146" s="1" t="s">
        <v>415</v>
      </c>
      <c r="D146" s="49">
        <f>1.2*2*'Design Spec'!$D$95/'Design Spec'!$D$107</f>
        <v>60</v>
      </c>
      <c r="E146" s="1" t="s">
        <v>150</v>
      </c>
      <c r="F146" s="76"/>
      <c r="G146" s="76"/>
      <c r="H146" s="76"/>
      <c r="I146" s="76"/>
      <c r="J146" s="76"/>
      <c r="K146" s="76"/>
      <c r="L146" s="76"/>
      <c r="M146" s="76"/>
      <c r="N146" s="76"/>
    </row>
    <row r="147" spans="2:14" ht="14.25" customHeight="1">
      <c r="B147" s="1" t="s">
        <v>1092</v>
      </c>
      <c r="C147" s="1" t="s">
        <v>416</v>
      </c>
      <c r="D147" s="49">
        <f>1.2*D143</f>
        <v>118.34155620827208</v>
      </c>
      <c r="E147" s="1" t="s">
        <v>237</v>
      </c>
      <c r="F147" s="76"/>
      <c r="G147" s="76"/>
      <c r="H147" s="76"/>
      <c r="I147" s="76"/>
      <c r="J147" s="76"/>
      <c r="K147" s="76"/>
      <c r="L147" s="76"/>
      <c r="M147" s="76"/>
      <c r="N147" s="76"/>
    </row>
    <row r="148" spans="2:14" ht="14.25" customHeight="1">
      <c r="B148" s="1" t="s">
        <v>1093</v>
      </c>
      <c r="C148" s="1" t="s">
        <v>1094</v>
      </c>
      <c r="D148" s="49">
        <f>D143/D160</f>
        <v>49.308981753446702</v>
      </c>
      <c r="E148" s="1" t="s">
        <v>237</v>
      </c>
      <c r="F148" s="76"/>
      <c r="G148" s="76"/>
      <c r="H148" s="76"/>
      <c r="I148" s="76"/>
      <c r="J148" s="76"/>
      <c r="K148" s="76"/>
      <c r="L148" s="76"/>
      <c r="M148" s="76"/>
      <c r="N148" s="76"/>
    </row>
    <row r="149" spans="2:14" ht="15.75" customHeight="1">
      <c r="B149" s="20" t="s">
        <v>417</v>
      </c>
      <c r="C149" s="202" t="s">
        <v>1202</v>
      </c>
      <c r="D149" s="202"/>
      <c r="E149" s="202"/>
      <c r="F149" s="76"/>
      <c r="G149" s="76"/>
      <c r="H149" s="76"/>
      <c r="I149" s="76"/>
      <c r="J149" s="76"/>
      <c r="K149" s="76"/>
      <c r="L149" s="76"/>
      <c r="M149" s="76"/>
      <c r="N149" s="76"/>
    </row>
    <row r="150" spans="2:14" ht="14.25" customHeight="1">
      <c r="B150" s="1" t="s">
        <v>1095</v>
      </c>
      <c r="C150" s="1" t="s">
        <v>1096</v>
      </c>
      <c r="D150" s="2">
        <v>2</v>
      </c>
      <c r="E150" s="26" t="s">
        <v>181</v>
      </c>
      <c r="F150" s="76"/>
    </row>
    <row r="151" spans="2:14" ht="15.75" customHeight="1">
      <c r="B151" s="20" t="s">
        <v>356</v>
      </c>
      <c r="C151" s="20" t="s">
        <v>132</v>
      </c>
      <c r="D151" s="20" t="s">
        <v>133</v>
      </c>
      <c r="E151" s="20" t="s">
        <v>134</v>
      </c>
    </row>
    <row r="152" spans="2:14" ht="14.25" customHeight="1">
      <c r="B152" s="1" t="s">
        <v>1097</v>
      </c>
      <c r="C152" s="1" t="s">
        <v>403</v>
      </c>
      <c r="D152" s="2">
        <v>0</v>
      </c>
      <c r="E152" s="1" t="s">
        <v>150</v>
      </c>
    </row>
    <row r="153" spans="2:14" ht="15" customHeight="1">
      <c r="B153" s="1" t="s">
        <v>1219</v>
      </c>
      <c r="C153" s="1" t="s">
        <v>433</v>
      </c>
      <c r="D153" s="2">
        <v>3.7000000000000002E-3</v>
      </c>
      <c r="E153" s="26" t="s">
        <v>175</v>
      </c>
    </row>
    <row r="154" spans="2:5" ht="15" customHeight="1">
      <c r="B154" s="1" t="s">
        <v>423</v>
      </c>
      <c r="C154" s="1" t="s">
        <v>424</v>
      </c>
      <c r="D154" s="2">
        <v>25</v>
      </c>
      <c r="E154" s="26" t="s">
        <v>425</v>
      </c>
    </row>
    <row r="155" spans="2:5" ht="15">
      <c r="B155" s="1" t="s">
        <v>1217</v>
      </c>
      <c r="C155" s="1" t="s">
        <v>1098</v>
      </c>
      <c r="D155" s="2">
        <v>1.9</v>
      </c>
      <c r="E155" s="26" t="s">
        <v>181</v>
      </c>
    </row>
    <row r="156" spans="2:5" ht="15.75" customHeight="1">
      <c r="B156" s="20" t="s">
        <v>356</v>
      </c>
      <c r="C156" s="20" t="s">
        <v>132</v>
      </c>
      <c r="D156" s="20" t="s">
        <v>133</v>
      </c>
      <c r="E156" s="20" t="s">
        <v>134</v>
      </c>
    </row>
    <row r="157" spans="2:5" ht="14.25" customHeight="1">
      <c r="B157" s="1" t="s">
        <v>1084</v>
      </c>
      <c r="C157" s="1" t="s">
        <v>434</v>
      </c>
      <c r="D157" s="49">
        <f>IF(D150=2,0,0.5*D152*'Preliminary Calculation'!D7/D160)+D153*D155*D144^2</f>
        <v>1.4104628767272578</v>
      </c>
      <c r="E157" s="1" t="s">
        <v>161</v>
      </c>
    </row>
    <row r="158" spans="2:5" ht="15" customHeight="1">
      <c r="B158" s="1" t="s">
        <v>1099</v>
      </c>
      <c r="C158" s="1" t="s">
        <v>429</v>
      </c>
      <c r="D158" s="49">
        <f>(125-D154)/D157</f>
        <v>70.898711089818406</v>
      </c>
      <c r="E158" s="1" t="s">
        <v>430</v>
      </c>
    </row>
    <row r="159" spans="2:5" ht="14.25" customHeight="1">
      <c r="B159" s="1" t="s">
        <v>1100</v>
      </c>
      <c r="C159" s="1" t="s">
        <v>435</v>
      </c>
      <c r="D159" s="49">
        <f>D157*D160*2*'Design Spec'!$D$107</f>
        <v>5.6418515069090311</v>
      </c>
      <c r="E159" s="1" t="s">
        <v>161</v>
      </c>
    </row>
    <row r="160" spans="2:5" ht="15">
      <c r="B160" s="1" t="s">
        <v>1101</v>
      </c>
      <c r="C160" s="1" t="s">
        <v>1102</v>
      </c>
      <c r="D160" s="2">
        <v>2</v>
      </c>
      <c r="E160" s="26" t="s">
        <v>181</v>
      </c>
    </row>
    <row r="161" spans="2:5" ht="18" customHeight="1">
      <c r="B161" s="28" t="s">
        <v>436</v>
      </c>
      <c r="C161" s="28" t="s">
        <v>437</v>
      </c>
      <c r="D161" s="78"/>
      <c r="E161" s="79"/>
    </row>
    <row r="162" spans="2:5" ht="14.25" customHeight="1">
      <c r="B162" s="80"/>
      <c r="C162" s="80"/>
      <c r="E162" s="81"/>
    </row>
    <row r="163" spans="2:5" ht="14.25" customHeight="1">
      <c r="B163" s="80"/>
      <c r="C163" s="80"/>
      <c r="E163" s="81"/>
    </row>
    <row r="164" spans="2:5" ht="14.25" customHeight="1">
      <c r="B164" s="80"/>
      <c r="C164" s="80"/>
      <c r="E164" s="81"/>
    </row>
    <row r="165" spans="2:5" ht="14.25" customHeight="1">
      <c r="B165" s="80"/>
      <c r="C165" s="80"/>
      <c r="E165" s="81"/>
    </row>
    <row r="166" spans="2:5" ht="14.25" customHeight="1">
      <c r="B166" s="80"/>
      <c r="C166" s="80"/>
      <c r="E166" s="81"/>
    </row>
    <row r="167" spans="2:5" ht="14.25" customHeight="1">
      <c r="B167" s="80"/>
      <c r="C167" s="80"/>
      <c r="E167" s="81"/>
    </row>
    <row r="168" spans="2:5" ht="14.25" customHeight="1">
      <c r="B168" s="80"/>
      <c r="C168" s="80"/>
      <c r="E168" s="81"/>
    </row>
    <row r="169" spans="2:5" ht="14.25" customHeight="1">
      <c r="B169" s="80"/>
      <c r="C169" s="80"/>
      <c r="E169" s="81"/>
    </row>
    <row r="170" spans="2:5" ht="14.25" customHeight="1">
      <c r="B170" s="80"/>
      <c r="C170" s="80"/>
      <c r="E170" s="81"/>
    </row>
    <row r="171" spans="2:5" ht="14.25" customHeight="1">
      <c r="B171" s="80"/>
      <c r="C171" s="80"/>
      <c r="E171" s="81"/>
    </row>
    <row r="172" spans="2:5" ht="14.25" customHeight="1">
      <c r="B172" s="80"/>
      <c r="C172" s="80"/>
      <c r="E172" s="81"/>
    </row>
    <row r="173" spans="2:5" ht="14.25" customHeight="1">
      <c r="B173" s="80"/>
      <c r="C173" s="80"/>
      <c r="E173" s="81"/>
    </row>
    <row r="174" spans="2:5" ht="14.25" customHeight="1">
      <c r="B174" s="80"/>
      <c r="C174" s="80"/>
      <c r="E174" s="81"/>
    </row>
    <row r="175" spans="2:5" ht="14.25" customHeight="1">
      <c r="B175" s="80"/>
      <c r="C175" s="80"/>
      <c r="E175" s="81"/>
    </row>
    <row r="176" spans="2:5" ht="14.25" customHeight="1">
      <c r="B176" s="82"/>
      <c r="C176" s="82"/>
      <c r="D176" s="83"/>
      <c r="E176" s="84"/>
    </row>
  </sheetData>
  <mergeCells count="4">
    <mergeCell ref="C89:E89"/>
    <mergeCell ref="C50:E50"/>
    <mergeCell ref="C67:E67"/>
    <mergeCell ref="C149:E149"/>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470</v>
      </c>
      <c r="G93" s="125"/>
    </row>
    <row r="94" spans="2:7" ht="14.25" customHeight="1">
      <c r="B94" s="1" t="s">
        <v>666</v>
      </c>
      <c r="C94" s="1" t="s">
        <v>667</v>
      </c>
      <c r="D94" s="49">
        <f>IF(F93,F93,D93)*((D85/D86)-1)</f>
        <v>525.49155297423772</v>
      </c>
      <c r="E94" s="1" t="s">
        <v>200</v>
      </c>
      <c r="F94" s="2">
        <v>4700</v>
      </c>
      <c r="G94" s="125"/>
    </row>
    <row r="95" spans="2:7" ht="14.25" customHeight="1">
      <c r="B95" s="1" t="s">
        <v>668</v>
      </c>
      <c r="C95" s="54" t="s">
        <v>669</v>
      </c>
      <c r="D95" s="55">
        <f>1/(2*PI()*(D86*IF(F94,F94,D94)*(10^-9)))/1000</f>
        <v>45.715337710116671</v>
      </c>
      <c r="E95" s="54" t="s">
        <v>452</v>
      </c>
      <c r="F95" s="2">
        <v>10</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Components'!$C$149</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39"/>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88-132</t>
        </is>
      </c>
    </row>
    <row r="78">
      <c r="B78" s="10" t="inlineStr">
        <is>
          <t xml:space="preserve">L6790A dead time at start-up, before ADT (DS gives none) [assumed]</t>
        </is>
      </c>
      <c r="C78" s="2">
        <v>420</v>
      </c>
      <c r="D78" s="10" t="inlineStr">
        <is>
          <t xml:space="preserve">ns</t>
        </is>
      </c>
    </row>
    <row r="79">
      <c r="B79" s="10" t="inlineStr">
        <is>
          <t xml:space="preserve">L6790A maximum operating frequency (DS: upper limited to about 675 kHz)</t>
        </is>
      </c>
      <c r="C79" s="2">
        <v>675</v>
      </c>
      <c r="D79" s="10" t="inlineStr">
        <is>
          <t xml:space="preserve">kHz</t>
        </is>
      </c>
    </row>
    <row r="80">
      <c r="B80" s="10" t="inlineStr">
        <is>
          <t xml:space="preserve">L6790A highest FB bus = HB/FB morphing threshold (DS V.HVPK_BOH)</t>
        </is>
      </c>
      <c r="C80" s="2">
        <v>235</v>
      </c>
      <c r="D80" s="10" t="inlineStr">
        <is>
          <t xml:space="preserve">V</t>
        </is>
      </c>
    </row>
    <row r="81">
      <c r="B81" s="10" t="inlineStr">
        <is>
          <t xml:space="preserve">Driver source resistance: V.test / I.so</t>
        </is>
      </c>
      <c r="C81" s="87">
        <f>'Power Components'!$D$93/'Power Components'!$D$91</f>
      </c>
      <c r="D81" s="10" t="inlineStr">
        <is>
          <t xml:space="preserve">Ω</t>
        </is>
      </c>
    </row>
    <row r="82">
      <c r="B82" s="10" t="inlineStr">
        <is>
          <t xml:space="preserve">Driver sink resistance: V.test / I.si</t>
        </is>
      </c>
      <c r="C82" s="87">
        <f>'Power Components'!$D$93/'Power Components'!$D$92</f>
      </c>
      <c r="D82" s="10" t="inlineStr">
        <is>
          <t xml:space="preserve">Ω</t>
        </is>
      </c>
    </row>
    <row r="83">
      <c r="B83" s="10" t="inlineStr">
        <is>
          <t xml:space="preserve">V.drv (selected)</t>
        </is>
      </c>
      <c r="C83" s="87">
        <f>'Power Components'!$F$107</f>
      </c>
      <c r="D83" s="10" t="inlineStr">
        <is>
          <t xml:space="preserve">V</t>
        </is>
      </c>
    </row>
    <row r="84">
      <c r="B84" s="10" t="inlineStr">
        <is>
          <t xml:space="preserve">V.drv min: driver range, and 10 V at the high-side gate after D.boot</t>
        </is>
      </c>
      <c r="C84" s="87">
        <f>MAX('Power Components'!$D$94,10+'Power Components'!$F$121)</f>
      </c>
      <c r="D84" s="10" t="inlineStr">
        <is>
          <t xml:space="preserve">V</t>
        </is>
      </c>
    </row>
    <row r="85">
      <c r="B85" s="10" t="inlineStr">
        <is>
          <t xml:space="preserve">V.drv max: driver range</t>
        </is>
      </c>
      <c r="C85" s="87">
        <f>'Power Components'!$D$95</f>
      </c>
      <c r="D85" s="10" t="inlineStr">
        <is>
          <t xml:space="preserve">V</t>
        </is>
      </c>
    </row>
    <row r="86">
      <c r="B86" s="10" t="inlineStr">
        <is>
          <t xml:space="preserve">Gate capacitance per position: n.par x C.g + C.gs</t>
        </is>
      </c>
      <c r="C86" s="87">
        <f>'Power Components'!$D$68*'Power Components'!$D$76+'Power Components'!$F$115</f>
      </c>
      <c r="D86" s="10" t="inlineStr">
        <is>
          <t xml:space="preserve">nF</t>
        </is>
      </c>
    </row>
    <row r="87">
      <c r="B87" s="10" t="inlineStr">
        <is>
          <t xml:space="preserve">Internal gate resistance per position</t>
        </is>
      </c>
      <c r="C87" s="87">
        <f>'Power Components'!$D$78/'Power Components'!$D$68</f>
      </c>
      <c r="D87" s="10" t="inlineStr">
        <is>
          <t xml:space="preserve">Ω</t>
        </is>
      </c>
    </row>
    <row r="88">
      <c r="B88" s="10" t="inlineStr">
        <is>
          <t xml:space="preserve">Turn-off path resistance</t>
        </is>
      </c>
      <c r="C88" s="87">
        <f>IF('Power Components'!$F$112=0,'Power Components'!$F$113,IF('Power Components'!$F$113&gt;0,'Power Components'!$F$113*'Power Components'!$F$110/('Power Components'!$F$113+'Power Components'!$F$110),'Power Components'!$F$110))</f>
      </c>
      <c r="D88" s="10" t="inlineStr">
        <is>
          <t xml:space="preserve">Ω</t>
        </is>
      </c>
    </row>
    <row r="89">
      <c r="B89" s="10" t="inlineStr">
        <is>
          <t xml:space="preserve">Turn-off path offset (D.off)</t>
        </is>
      </c>
      <c r="C89" s="87">
        <f>IF(AND('Power Components'!$F$112&gt;0,'Power Components'!$F$113&gt;0),'Power Components'!$F$112*'Power Components'!$F$110/('Power Components'!$F$113+'Power Components'!$F$110),0)</f>
      </c>
      <c r="D89" s="10" t="inlineStr">
        <is>
          <t xml:space="preserve">V</t>
        </is>
      </c>
    </row>
    <row r="90">
      <c r="B90" s="10" t="inlineStr">
        <is>
          <t xml:space="preserve">τ.on = (R.so + R.on + R.gi) C.G</t>
        </is>
      </c>
      <c r="C90" s="87">
        <f>(C81+'Power Components'!$F$110+C87)*C86</f>
      </c>
      <c r="D90" s="10" t="inlineStr">
        <is>
          <t xml:space="preserve">ns</t>
        </is>
      </c>
    </row>
    <row r="91">
      <c r="B91" s="10" t="inlineStr">
        <is>
          <t xml:space="preserve">τ.off = (R.si + R.off.eff + R.gi) C.G</t>
        </is>
      </c>
      <c r="C91" s="87">
        <f>(C82+C88+C87)*C86</f>
      </c>
      <c r="D91" s="10" t="inlineStr">
        <is>
          <t xml:space="preserve">ns</t>
        </is>
      </c>
    </row>
    <row r="92">
      <c r="B92" s="10" t="inlineStr">
        <is>
          <t xml:space="preserve">Start-up pulse T/2 - max(t.D.su, t.DT) (also the first LOUT pulse)</t>
        </is>
      </c>
      <c r="C92" s="87">
        <f>10^6/(2*'Device Setting'!$D$29)-MAX(C78,'Power Components'!$D$98)</f>
      </c>
      <c r="D92" s="10" t="inlineStr">
        <is>
          <t xml:space="preserve">ns</t>
        </is>
      </c>
    </row>
    <row r="93">
      <c r="B93" s="10" t="inlineStr">
        <is>
          <t xml:space="preserve">Pulse at f.Max: T/2 - t.D</t>
        </is>
      </c>
      <c r="C93" s="87">
        <f>10^6/(2*'Device Setting'!$D$27)-MAX('Design Spec'!$D$47,'Power Components'!$D$98)</f>
      </c>
      <c r="D93" s="10" t="inlineStr">
        <is>
          <t xml:space="preserve">ns</t>
        </is>
      </c>
    </row>
    <row r="94">
      <c r="B94" s="10" t="inlineStr">
        <is>
          <t xml:space="preserve">Gate voltage at the end of the start-up pulse</t>
        </is>
      </c>
      <c r="C94" s="87">
        <f>C83*(1-EXP(-C92/C90))</f>
      </c>
      <c r="D94" s="10" t="inlineStr">
        <is>
          <t xml:space="preserve">V</t>
        </is>
      </c>
    </row>
    <row r="95">
      <c r="B95" s="10" t="inlineStr">
        <is>
          <t xml:space="preserve">Gate voltage at the end of the f.Max pulse</t>
        </is>
      </c>
      <c r="C95" s="87">
        <f>C83*(1-EXP(-C93/C90))</f>
      </c>
      <c r="D95" s="10" t="inlineStr">
        <is>
          <t xml:space="preserve">V</t>
        </is>
      </c>
    </row>
    <row r="96">
      <c r="B96" s="10" t="inlineStr">
        <is>
          <t xml:space="preserve">Energy per turn-on at f.Max</t>
        </is>
      </c>
      <c r="C96" s="87">
        <f>C86*C95*(C83-C95/2)</f>
      </c>
      <c r="D96" s="10" t="inlineStr">
        <is>
          <t xml:space="preserve">nJ</t>
        </is>
      </c>
    </row>
    <row r="97">
      <c r="B97" s="10" t="inlineStr">
        <is>
          <t xml:space="preserve">Energy per turn-off at f.Max</t>
        </is>
      </c>
      <c r="C97" s="87">
        <f>C86*C95^2/2</f>
      </c>
      <c r="D97" s="10" t="inlineStr">
        <is>
          <t xml:space="preserve">nJ</t>
        </is>
      </c>
    </row>
    <row r="98">
      <c r="B98" s="10" t="inlineStr">
        <is>
          <t xml:space="preserve">Driver share of the turn-on energy</t>
        </is>
      </c>
      <c r="C98" s="87">
        <f>C81/(C81+'Power Components'!$F$110+C87)</f>
      </c>
      <c r="D98" s="10" t="inlineStr">
        <is>
          <t xml:space="preserve">-</t>
        </is>
      </c>
    </row>
    <row r="99">
      <c r="B99" s="10" t="inlineStr">
        <is>
          <t xml:space="preserve">Driver share of the turn-off energy</t>
        </is>
      </c>
      <c r="C99" s="87">
        <f>C82/(C82+C88+C87)</f>
      </c>
      <c r="D99" s="10" t="inlineStr">
        <is>
          <t xml:space="preserve">-</t>
        </is>
      </c>
    </row>
    <row r="100">
      <c r="B100" s="10" t="inlineStr">
        <is>
          <t xml:space="preserve">Driver power at f.Max, both positions + quiescent</t>
        </is>
      </c>
      <c r="C100" s="87">
        <f>2*(C96*C98+C97*C99)*'Device Setting'!$D$27*10^-6+'Power Components'!$D$100*C83/1000</f>
      </c>
      <c r="D100" s="10" t="inlineStr">
        <is>
          <t xml:space="preserve">W</t>
        </is>
      </c>
    </row>
    <row r="101">
      <c r="B101" s="10" t="inlineStr">
        <is>
          <t xml:space="preserve">Driver power allowed: (Tj.max - Ta) / Rth</t>
        </is>
      </c>
      <c r="C101" s="87">
        <f>('Power Components'!$D$102-'Power Components'!$D$73)/'Power Components'!$D$101</f>
      </c>
      <c r="D101" s="10" t="inlineStr">
        <is>
          <t xml:space="preserve">W</t>
        </is>
      </c>
    </row>
    <row r="102">
      <c r="B102" s="10" t="inlineStr">
        <is>
          <t xml:space="preserve">Driver gate-power budget: allowed - quiescent</t>
        </is>
      </c>
      <c r="C102" s="87">
        <f>C101-'Power Components'!$D$100*C83/1000</f>
      </c>
      <c r="D102" s="10" t="inlineStr">
        <is>
          <t xml:space="preserve">W</t>
        </is>
      </c>
    </row>
    <row r="103">
      <c r="B103" s="10" t="inlineStr">
        <is>
          <t xml:space="preserve">Turn-on share the budget allows</t>
        </is>
      </c>
      <c r="C103" s="87">
        <f>(C102-2*C97*C99*'Device Setting'!$D$27*10^-6)/(2*C96*'Device Setting'!$D$27*10^-6)</f>
      </c>
      <c r="D103" s="10" t="inlineStr">
        <is>
          <t xml:space="preserve">-</t>
        </is>
      </c>
    </row>
    <row r="104">
      <c r="B104" s="10" t="inlineStr">
        <is>
          <t xml:space="preserve">R.on min: the driver temperature</t>
        </is>
      </c>
      <c r="C104" s="87">
        <f>IF(C103&lt;=0,"lower V.drv",MAX(0,C81/C103-C81-C87))</f>
      </c>
      <c r="D104" s="10" t="inlineStr">
        <is>
          <t xml:space="preserve">Ω</t>
        </is>
      </c>
    </row>
    <row r="105">
      <c r="B105" s="10" t="inlineStr">
        <is>
          <t xml:space="preserve">R.on max: the gate reaches 10 V within the start-up pulse</t>
        </is>
      </c>
      <c r="C105" s="87">
        <f>IF(C83&gt;10,C92/(C86*LN(C83/(C83-10)))-C81-C87,0)</f>
      </c>
      <c r="D105" s="10" t="inlineStr">
        <is>
          <t xml:space="preserve">Ω</t>
        </is>
      </c>
    </row>
    <row r="106">
      <c r="B106" s="10" t="inlineStr">
        <is>
          <t xml:space="preserve">R.on recommended: the log middle of min .. max, E12 below</t>
        </is>
      </c>
      <c r="C106" s="87">
        <f>IF(ISNUMBER(C104),IF((SQRT(MAX(C104,1)*MAX(C105,1)))&lt;=0,0,10^INT(LOG10((SQRT(MAX(C104,1)*MAX(C105,1)))*1.000001))*LOOKUP((SQRT(MAX(C104,1)*MAX(C105,1)))*1.000001/10^INT(LOG10((SQRT(MAX(C104,1)*MAX(C105,1)))*1.000001)),{1,1.2,1.5,1.8,2.2,2.7,3.3,3.9,4.7,5.6,6.8,8.2})),C104)</f>
      </c>
      <c r="D106" s="10" t="inlineStr">
        <is>
          <t xml:space="preserve">Ω</t>
        </is>
      </c>
    </row>
    <row r="107">
      <c r="B107" s="10" t="inlineStr">
        <is>
          <t xml:space="preserve">Midpoint swing in run: c.HB V.bus,max / I.Lm.pk</t>
        </is>
      </c>
      <c r="C107" s="87">
        <f>'Design Spec'!$D$46*SQRT(2)*'Design Spec'!$D$14/'Res. Tank Design'!$D$73/1000</f>
      </c>
      <c r="D107" s="10" t="inlineStr">
        <is>
          <t xml:space="preserve">ns</t>
        </is>
      </c>
    </row>
    <row r="108">
      <c r="B108" s="10" t="inlineStr">
        <is>
          <t xml:space="preserve">Midpoint swing at start-up: c.HB V.bus,FB / I.su</t>
        </is>
      </c>
      <c r="C108" s="87">
        <f>'Design Spec'!$D$46*C80/'Res. Tank Design'!$D$84/1000</f>
      </c>
      <c r="D108" s="10" t="inlineStr">
        <is>
          <t xml:space="preserve">ns</t>
        </is>
      </c>
    </row>
    <row r="109">
      <c r="B109" s="10" t="inlineStr">
        <is>
          <t xml:space="preserve">Miller current into an off gate during the faster swing</t>
        </is>
      </c>
      <c r="C109" s="87">
        <f>'Power Components'!$D$68*'Power Components'!$D$82/MIN(C107,C108)</f>
      </c>
      <c r="D109" s="10" t="inlineStr">
        <is>
          <t xml:space="preserve">A</t>
        </is>
      </c>
    </row>
    <row r="110">
      <c r="B110" s="10" t="inlineStr">
        <is>
          <t xml:space="preserve">Gate kick, resistive estimate: i.M x sink path</t>
        </is>
      </c>
      <c r="C110" s="87">
        <f>C109*(C82+C88+C87)</f>
      </c>
      <c r="D110" s="10" t="inlineStr">
        <is>
          <t xml:space="preserve">V</t>
        </is>
      </c>
    </row>
    <row r="111">
      <c r="B111" s="10" t="inlineStr">
        <is>
          <t xml:space="preserve">Gate kick, capacitive bound: Q.gd / (C.gs + C.gs option)</t>
        </is>
      </c>
      <c r="C111" s="87">
        <f>'Power Components'!$D$68*'Power Components'!$D$82/('Power Components'!$D$68*'Power Components'!$D$77+'Power Components'!$F$115)</f>
      </c>
      <c r="D111" s="10" t="inlineStr">
        <is>
          <t xml:space="preserve">V</t>
        </is>
      </c>
    </row>
    <row r="112">
      <c r="B112" s="10" t="inlineStr">
        <is>
          <t xml:space="preserve">k.Miller = V.th min / the smaller kick</t>
        </is>
      </c>
      <c r="C112" s="87">
        <f>'Power Components'!$D$81/MIN(C110,C111)</f>
      </c>
      <c r="D112" s="10" t="inlineStr">
        <is>
          <t xml:space="preserve">-</t>
        </is>
      </c>
    </row>
    <row r="113">
      <c r="B113" s="10" t="inlineStr">
        <is>
          <t xml:space="preserve">C.gs needed (0 if the gate holds without it)</t>
        </is>
      </c>
      <c r="C113" s="87">
        <f>IF(MIN(C110,C111)&lt;='Power Components'!$D$81,0,MAX(0,'Power Components'!$D$68*('Power Components'!$D$82/'Power Components'!$D$81-'Power Components'!$D$77)))</f>
      </c>
      <c r="D113" s="10" t="inlineStr">
        <is>
          <t xml:space="preserve">nF</t>
        </is>
      </c>
    </row>
    <row r="114">
      <c r="B114" s="10" t="inlineStr">
        <is>
          <t xml:space="preserve">C.gs suggested: E6 above the need</t>
        </is>
      </c>
      <c r="C114" s="87">
        <f>IF(C113=0,0,IF((C113)&lt;=0,0,-10^INT(LOG10((C113)*0.999999))*LOOKUP(-(C113)*0.999999/10^INT(LOG10((C113)*0.999999)),{-10,-6.8,-4.7,-3.3,-2.2,-1.5,-1})))</f>
      </c>
      <c r="D114" s="10" t="inlineStr">
        <is>
          <t xml:space="preserve">nF</t>
        </is>
      </c>
    </row>
    <row r="115">
      <c r="B115" s="10" t="inlineStr">
        <is>
          <t xml:space="preserve">t.on: IC edge -&gt; V.th</t>
        </is>
      </c>
      <c r="C115" s="87">
        <f>'Power Components'!$D$96+C90*LN(C83/(C83-'Power Components'!$D$80))</f>
      </c>
      <c r="D115" s="10" t="inlineStr">
        <is>
          <t xml:space="preserve">ns</t>
        </is>
      </c>
    </row>
    <row r="116">
      <c r="B116" s="10" t="inlineStr">
        <is>
          <t xml:space="preserve">IC edge -&gt; plateau on the way up</t>
        </is>
      </c>
      <c r="C116" s="87">
        <f>'Power Components'!$D$96+C90*LN(C83/(C83-'Power Components'!$D$79))</f>
      </c>
      <c r="D116" s="10" t="inlineStr">
        <is>
          <t xml:space="preserve">ns</t>
        </is>
      </c>
    </row>
    <row r="117">
      <c r="B117" s="10" t="inlineStr">
        <is>
          <t xml:space="preserve">t.off: IC edge -&gt; below V.th min</t>
        </is>
      </c>
      <c r="C117" s="87">
        <f>IF('Power Components'!$D$81&gt;C89,'Power Components'!$D$96+C91*LN((C83-C89)/('Power Components'!$D$81-C89)),"never")</f>
      </c>
      <c r="D117" s="10" t="inlineStr">
        <is>
          <t xml:space="preserve">ns</t>
        </is>
      </c>
    </row>
    <row r="118">
      <c r="B118" s="10" t="inlineStr">
        <is>
          <t xml:space="preserve">IC edge -&gt; plateau on the way down</t>
        </is>
      </c>
      <c r="C118" s="87">
        <f>'Power Components'!$D$96+C91*LN((C83-C89)/('Power Components'!$D$79-C89))</f>
      </c>
      <c r="D118" s="10" t="inlineStr">
        <is>
          <t xml:space="preserve">ns</t>
        </is>
      </c>
    </row>
    <row r="119">
      <c r="B119" s="10" t="inlineStr">
        <is>
          <t xml:space="preserve">t.D.need = (t.off.pl - t.pd) + swing - (t.on - t.pd) + MT</t>
        </is>
      </c>
      <c r="C119" s="87">
        <f>C118-C115+C107+'Power Components'!$D$97</f>
      </c>
      <c r="D119" s="10" t="inlineStr">
        <is>
          <t xml:space="preserve">ns</t>
        </is>
      </c>
    </row>
    <row r="120">
      <c r="B120" s="10" t="inlineStr">
        <is>
          <t xml:space="preserve">t.D.max = T/4 at f.Max + (t.off.pl - t.on.pl) - MT: on at the plateau before the reversal</t>
        </is>
      </c>
      <c r="C120" s="87">
        <f>10^6/(4*'Device Setting'!$D$27)+C118-C116-'Power Components'!$D$97</f>
      </c>
      <c r="D120" s="10" t="inlineStr">
        <is>
          <t xml:space="preserve">ns</t>
        </is>
      </c>
    </row>
    <row r="121">
      <c r="B121" s="10" t="inlineStr">
        <is>
          <t xml:space="preserve">k.tD = min(max(420, t.DT) / need, t.D.max / max(need, t.DT))</t>
        </is>
      </c>
      <c r="C121" s="87">
        <f>MIN(MAX(420,'Power Components'!$D$98)/C119,C120/MAX(C119,'Power Components'!$D$98))</f>
      </c>
      <c r="D121" s="10" t="inlineStr">
        <is>
          <t xml:space="preserve">-</t>
        </is>
      </c>
    </row>
    <row r="122">
      <c r="B122" s="10" t="inlineStr">
        <is>
          <t xml:space="preserve">Turn-off path that holds the gate below V.th min against the Miller current</t>
        </is>
      </c>
      <c r="C122" s="87">
        <f>'Power Components'!$D$81/C109-C82-C87</f>
      </c>
      <c r="D122" s="10" t="inlineStr">
        <is>
          <t xml:space="preserve">Ω</t>
        </is>
      </c>
    </row>
    <row r="123">
      <c r="B123" s="10" t="inlineStr">
        <is>
          <t xml:space="preserve">Turn-off path that has the gate off before the other side turns on (t.D + t.on)</t>
        </is>
      </c>
      <c r="C123" s="87">
        <f>(MAX('Design Spec'!$D$47,'Power Components'!$D$98)+C115-'Power Components'!$D$96)/(LN((C83-C89)/('Power Components'!$D$81-C89))*C86)-C82-C87</f>
      </c>
      <c r="D123" s="10" t="inlineStr">
        <is>
          <t xml:space="preserve">Ω</t>
        </is>
      </c>
    </row>
    <row r="124">
      <c r="B124" s="10" t="inlineStr">
        <is>
          <t xml:space="preserve">Turn-off path that lets the channel go (V.pl -&gt; V.th) within the run swing T.T.run</t>
        </is>
      </c>
      <c r="C124" s="87">
        <f>C107/(LN(('Power Components'!$D$79-C89)/('Power Components'!$D$80-C89))*C86)-C82-C87</f>
      </c>
      <c r="D124" s="10" t="inlineStr">
        <is>
          <t xml:space="preserve">Ω</t>
        </is>
      </c>
    </row>
    <row r="125">
      <c r="B125" s="10" t="inlineStr">
        <is>
          <t xml:space="preserve">Turn-off path max: overlap and soft turn-off, and Miller unless C.gs alone holds</t>
        </is>
      </c>
      <c r="C125" s="87">
        <f>MIN(C123,C124,IF(C111&lt;='Power Components'!$D$81,1E+9,C122))</f>
      </c>
      <c r="D125" s="10" t="inlineStr">
        <is>
          <t xml:space="preserve">Ω</t>
        </is>
      </c>
    </row>
    <row r="126">
      <c r="B126" s="10" t="inlineStr">
        <is>
          <t xml:space="preserve">R.off that brings the path to half its max (in parallel with R.on unless V.F = 0)</t>
        </is>
      </c>
      <c r="C126" s="87">
        <f>IF('Power Components'!$F$112=0,C125/2,IF(C125/2&gt;='Power Components'!$F$110,1E+9,1/(2/C125-1/'Power Components'!$F$110)))</f>
      </c>
      <c r="D126" s="10" t="inlineStr">
        <is>
          <t xml:space="preserve">Ω</t>
        </is>
      </c>
    </row>
    <row r="127">
      <c r="B127" s="10" t="inlineStr">
        <is>
          <t xml:space="preserve">R.off suggested: GOFF - half the max; with D.off - min(R.on / 2, that need), E12 below</t>
        </is>
      </c>
      <c r="C127" s="87">
        <f>IF(C125&lt;=0,0,IF((IF('Power Components'!$F$112=0,C126,MIN('Power Components'!$F$110/2,C126)))&lt;=0,0,10^INT(LOG10((IF('Power Components'!$F$112=0,C126,MIN('Power Components'!$F$110/2,C126)))*1.000001))*LOOKUP((IF('Power Components'!$F$112=0,C126,MIN('Power Components'!$F$110/2,C126)))*1.000001/10^INT(LOG10((IF('Power Components'!$F$112=0,C126,MIN('Power Components'!$F$110/2,C126)))*1.000001)),{1,1.2,1.5,1.8,2.2,2.7,3.3,3.9,4.7,5.6,6.8,8.2})))</f>
      </c>
      <c r="D127" s="10" t="inlineStr">
        <is>
          <t xml:space="preserve">Ω</t>
        </is>
      </c>
    </row>
    <row r="128">
      <c r="B128" s="10" t="inlineStr">
        <is>
          <t xml:space="preserve">C.boot min: 10 x C.G</t>
        </is>
      </c>
      <c r="C128" s="87">
        <f>10*C86</f>
      </c>
      <c r="D128" s="10" t="inlineStr">
        <is>
          <t xml:space="preserve">nF</t>
        </is>
      </c>
    </row>
    <row r="129">
      <c r="B129" s="10" t="inlineStr">
        <is>
          <t xml:space="preserve">C.boot max: the first LOUT pulse still charges it to V.bo.min (with R.boot)</t>
        </is>
      </c>
      <c r="C129" s="87">
        <f>IF(C83-'Power Components'!$F$121&gt;'Power Components'!$D$103,C92/(MAX('Power Components'!$F$120,0.5)*LN((C83-'Power Components'!$F$121)/(C83-'Power Components'!$F$121-'Power Components'!$D$103))),0)</f>
      </c>
      <c r="D129" s="10" t="inlineStr">
        <is>
          <t xml:space="preserve">nF</t>
        </is>
      </c>
    </row>
    <row r="130">
      <c r="B130" s="10" t="inlineStr">
        <is>
          <t xml:space="preserve">C.boot recommended: E6 above the min</t>
        </is>
      </c>
      <c r="C130" s="87">
        <f>IF((C128)&lt;=0,0,-10^INT(LOG10((C128)*0.999999))*LOOKUP(-(C128)*0.999999/10^INT(LOG10((C128)*0.999999)),{-10,-6.8,-4.7,-3.3,-2.2,-1.5,-1}))</f>
      </c>
      <c r="D130" s="10" t="inlineStr">
        <is>
          <t xml:space="preserve">nF</t>
        </is>
      </c>
    </row>
    <row r="131">
      <c r="B131" s="10" t="inlineStr">
        <is>
          <t xml:space="preserve">τ.boot (a diode alone taken as 0.5 Ω)</t>
        </is>
      </c>
      <c r="C131" s="87">
        <f>MAX('Power Components'!$F$120,0.5)*'Power Components'!$F$118</f>
      </c>
      <c r="D131" s="10" t="inlineStr">
        <is>
          <t xml:space="preserve">ns</t>
        </is>
      </c>
    </row>
    <row r="132">
      <c r="B132" s="10" t="inlineStr">
        <is>
          <t xml:space="preserve">R.boot max: the first LOUT pulse reaches V.bo.min (with C.boot)</t>
        </is>
      </c>
      <c r="C132" s="87">
        <f>IF(C83-'Power Components'!$F$121&gt;'Power Components'!$D$103,C92/('Power Components'!$F$118*LN((C83-'Power Components'!$F$121)/(C83-'Power Components'!$F$121-'Power Components'!$D$103))),"V.drv too low")</f>
      </c>
      <c r="D132" s="10" t="inlineStr">
        <is>
          <t xml:space="preserve">Ω</t>
        </is>
      </c>
    </row>
    <row r="133">
      <c r="B133" s="10" t="inlineStr">
        <is>
          <t xml:space="preserve">R.boot suggested: half the max, E12 below</t>
        </is>
      </c>
      <c r="C133" s="87">
        <f>IF(ISNUMBER(C132),IF((C132/2)&lt;=0,0,10^INT(LOG10((C132/2)*1.000001))*LOOKUP((C132/2)*1.000001/10^INT(LOG10((C132/2)*1.000001)),{1,1.2,1.5,1.8,2.2,2.7,3.3,3.9,4.7,5.6,6.8,8.2})),0)</f>
      </c>
      <c r="D133" s="10" t="inlineStr">
        <is>
          <t xml:space="preserve">Ω</t>
        </is>
      </c>
    </row>
    <row r="134">
      <c r="B134" s="10" t="inlineStr">
        <is>
          <t xml:space="preserve">V.BS after the first LOUT pulse</t>
        </is>
      </c>
      <c r="C134" s="87">
        <f>(C83-'Power Components'!$F$121)*(1-EXP(-C92/C131))</f>
      </c>
      <c r="D134" s="10" t="inlineStr">
        <is>
          <t xml:space="preserve">V</t>
        </is>
      </c>
    </row>
    <row r="135">
      <c r="B135" s="10" t="inlineStr">
        <is>
          <t xml:space="preserve">V.BS drop per high-side pulse at f.SU (gate charge + floating quiescent 120 uA)</t>
        </is>
      </c>
      <c r="C135" s="87">
        <f>C86*C94/'Power Components'!$F$118+0.00012*C92/'Power Components'!$F$118</f>
      </c>
      <c r="D135" s="10" t="inlineStr">
        <is>
          <t xml:space="preserve">V</t>
        </is>
      </c>
    </row>
    <row r="136">
      <c r="B136" s="10" t="inlineStr">
        <is>
          <t xml:space="preserve">V.BS lowest, steady at f.SU</t>
        </is>
      </c>
      <c r="C136" s="87">
        <f>C83-'Power Components'!$F$121-C135*EXP(-C92/C131)/(1-EXP(-C92/C131))-C135</f>
      </c>
      <c r="D136" s="10" t="inlineStr">
        <is>
          <t xml:space="preserve">V</t>
        </is>
      </c>
    </row>
    <row r="137">
      <c r="B137" s="10" t="inlineStr">
        <is>
          <t xml:space="preserve">P.Ron at f.Max</t>
        </is>
      </c>
      <c r="C137" s="87">
        <f>(C96*'Power Components'!$F$110/(C81+'Power Components'!$F$110+C87)+IF('Power Components'!$F$112=0,0,C97*C88/(C82+C88+C87)*C88/'Power Components'!$F$110))*'Device Setting'!$D$27*10^-6</f>
      </c>
      <c r="D137" s="10" t="inlineStr">
        <is>
          <t xml:space="preserve">W</t>
        </is>
      </c>
    </row>
    <row r="138">
      <c r="B138" s="10" t="inlineStr">
        <is>
          <t xml:space="preserve">P.Roff at f.Max</t>
        </is>
      </c>
      <c r="C138" s="87">
        <f>IF('Power Components'!$F$113&gt;0,C97*C88/(C82+C88+C87)*IF('Power Components'!$F$112=0,1,C88/'Power Components'!$F$113)*'Device Setting'!$D$27*10^-6,0)</f>
      </c>
      <c r="D138" s="10" t="inlineStr">
        <is>
          <t xml:space="preserve">W</t>
        </is>
      </c>
    </row>
    <row r="139">
      <c r="B139" s="10" t="inlineStr">
        <is>
          <t xml:space="preserve">Driver junction at f.Max and Ta (Power Components D73)</t>
        </is>
      </c>
      <c r="C139" s="87">
        <f>'Power Components'!$D$73+C100*'Power Components'!$D$101</f>
      </c>
      <c r="D139"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