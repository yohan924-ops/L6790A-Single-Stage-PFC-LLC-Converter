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<sst xmlns="http://schemas.openxmlformats.org/spreadsheetml/2006/main" count="2127" uniqueCount="1232">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</sst>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144</xdr:row>
      <xdr:rowOff>171360</xdr:rowOff>
    </xdr:from>
    <xdr:to>
      <xdr:col>1</xdr:col>
      <xdr:colOff>2876760</xdr:colOff>
      <xdr:row>158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144</xdr:row>
      <xdr:rowOff>56160</xdr:rowOff>
    </xdr:from>
    <xdr:to>
      <xdr:col>4</xdr:col>
      <xdr:colOff>303840</xdr:colOff>
      <xdr:row>158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99</xdr:row>
      <xdr:rowOff>0</xdr:rowOff>
    </xdr:from>
    <xdr:ext cx="7239000" cy="40216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0216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88-120 LLC Half Bridge Gate Driver Selection - part number, driver datasheet values (L6498LD), gate network (Value = recommendation, Selected Value = LGE bench board: VCC_GD 18 V, R115 47 ohm, R114 10 ohm + 1N4148WS, C63/C72 100 nF, MURS160 (V.F 1.0 V), boot resistor R113/R155 10 -&gt; 3.3 ohm (user, 2026-10-21)), results with five checks, schematic at G100. Old rows 76-80 are now 83-87 and old 81-119 (the secondary section) 121-159; CHANGELOG entries above this line name the old rows. Res. Tank Design 81-86: start-up I.su, k.su (OCP2), f.su.OCP1. CC 77-124: the working (gate_budget.py model).</t>
        </is>
      </c>
    </row>
    <row r="170">
      <c r="B170" s="8" t="inlineStr">
        <is>
          <t xml:space="preserve">Power Components</t>
        </is>
      </c>
      <c r="C170" s="8" t="inlineStr">
        <is>
          <t xml:space="preserve">B76:E82</t>
        </is>
      </c>
      <c r="F170" s="8" t="inlineStr">
        <is>
          <t xml:space="preserve">switch gate data (yellow)</t>
        </is>
      </c>
    </row>
    <row r="171">
      <c r="B171" s="8" t="inlineStr">
        <is>
          <t xml:space="preserve">Power Components</t>
        </is>
      </c>
      <c r="C171" s="8" t="inlineStr">
        <is>
          <t xml:space="preserve">B88:F119</t>
        </is>
      </c>
      <c r="F171" s="8" t="inlineStr">
        <is>
          <t xml:space="preserve">gate driver selection</t>
        </is>
      </c>
    </row>
    <row r="172">
      <c r="B172" s="8" t="inlineStr">
        <is>
          <t xml:space="preserve">Res. Tank Design</t>
        </is>
      </c>
      <c r="C172" s="8" t="inlineStr">
        <is>
          <t xml:space="preserve">B81:F86</t>
        </is>
      </c>
      <c r="F172" s="8" t="inlineStr">
        <is>
          <t xml:space="preserve">start-up: I.su, k.su, f.su.OCP1</t>
        </is>
      </c>
    </row>
    <row r="173">
      <c r="B173" s="8" t="inlineStr">
        <is>
          <t xml:space="preserve">CC</t>
        </is>
      </c>
      <c r="C173" s="8" t="inlineStr">
        <is>
          <t xml:space="preserve">B77:D124</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6"/>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t>
        </is>
      </c>
      <c r="D85" s="49">
        <f>'Device Setting'!$G$49/D84</f>
      </c>
      <c r="E85" s="62" t="inlineStr">
        <is>
          <t xml:space="preserve">-</t>
        </is>
      </c>
      <c r="F85" s="1">
        <f>IF(D85&gt;=1,"OK","CHECK")</f>
      </c>
    </row>
    <row r="86" ht="15" customHeight="1">
      <c r="B86" s="1" t="inlineStr">
        <is>
          <t xml:space="preserve">Lowest f before OCP1 while V.out is low</t>
        </is>
      </c>
      <c r="C86" s="1" t="inlineStr">
        <is>
          <t xml:space="preserve">f.su.OCP1</t>
        </is>
      </c>
      <c r="D86" s="49">
        <f>PI()*D55/(2*ATAN('Device Setting'!$D$49*D52/MAX(CC!$C$79,SQRT(2)*'Design Spec'!$D$14/2)))</f>
      </c>
      <c r="E86"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5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Propagation delay, typ</t>
        </is>
      </c>
      <c r="C94" s="1" t="inlineStr">
        <is>
          <t xml:space="preserve">t.pd</t>
        </is>
      </c>
      <c r="D94" s="2">
        <v>85</v>
      </c>
      <c r="E94" s="26" t="inlineStr">
        <is>
          <t xml:space="preserve">ns</t>
        </is>
      </c>
    </row>
    <row r="95">
      <c r="B95" s="1" t="inlineStr">
        <is>
          <t xml:space="preserve">Delay matching, max</t>
        </is>
      </c>
      <c r="C95" s="1" t="inlineStr">
        <is>
          <t xml:space="preserve">MT</t>
        </is>
      </c>
      <c r="D95" s="2">
        <v>30</v>
      </c>
      <c r="E95" s="26" t="inlineStr">
        <is>
          <t xml:space="preserve">ns</t>
        </is>
      </c>
    </row>
    <row r="96">
      <c r="B96" s="1" t="inlineStr">
        <is>
          <t xml:space="preserve">Quiescent current, VCC + floating, max</t>
        </is>
      </c>
      <c r="C96" s="1" t="inlineStr">
        <is>
          <t xml:space="preserve">I.Q</t>
        </is>
      </c>
      <c r="D96" s="2">
        <v>0.6</v>
      </c>
      <c r="E96" s="26" t="inlineStr">
        <is>
          <t xml:space="preserve">mA</t>
        </is>
      </c>
    </row>
    <row r="97">
      <c r="B97" s="1" t="inlineStr">
        <is>
          <t xml:space="preserve">Thermal resistance junction-ambient</t>
        </is>
      </c>
      <c r="C97" s="1" t="inlineStr">
        <is>
          <t xml:space="preserve">Rth.drv</t>
        </is>
      </c>
      <c r="D97" s="2">
        <v>120</v>
      </c>
      <c r="E97" s="26" t="inlineStr">
        <is>
          <t xml:space="preserve">˚C/W</t>
        </is>
      </c>
    </row>
    <row r="98">
      <c r="B98" s="1" t="inlineStr">
        <is>
          <t xml:space="preserve">Junction temperature, recommended max</t>
        </is>
      </c>
      <c r="C98" s="1" t="inlineStr">
        <is>
          <t xml:space="preserve">Tj.max</t>
        </is>
      </c>
      <c r="D98" s="2">
        <v>125</v>
      </c>
      <c r="E98" s="26" t="inlineStr">
        <is>
          <t xml:space="preserve">˚C</t>
        </is>
      </c>
    </row>
    <row r="99">
      <c r="B99" s="1" t="inlineStr">
        <is>
          <t xml:space="preserve">Floating (bootstrap) supply, recommended min</t>
        </is>
      </c>
      <c r="C99" s="1" t="inlineStr">
        <is>
          <t xml:space="preserve">V.bo.min</t>
        </is>
      </c>
      <c r="D99" s="2">
        <v>9.3</v>
      </c>
      <c r="E99" s="26" t="inlineStr">
        <is>
          <t xml:space="preserve">V</t>
        </is>
      </c>
    </row>
    <row r="100">
      <c r="B100" s="20" t="inlineStr">
        <is>
          <t xml:space="preserve">Parameter</t>
        </is>
      </c>
      <c r="C100" s="20" t="inlineStr">
        <is>
          <t xml:space="preserve">Name</t>
        </is>
      </c>
      <c r="D100" s="20" t="inlineStr">
        <is>
          <t xml:space="preserve">Value</t>
        </is>
      </c>
      <c r="E100" s="20" t="inlineStr">
        <is>
          <t xml:space="preserve">Unit</t>
        </is>
      </c>
      <c r="F100" s="20" t="inlineStr">
        <is>
          <t xml:space="preserve">Selected Value</t>
        </is>
      </c>
    </row>
    <row r="101">
      <c r="B101" s="1" t="inlineStr">
        <is>
          <t xml:space="preserve">Gate drive voltage (Value: the driver test voltage)</t>
        </is>
      </c>
      <c r="C101" s="1" t="inlineStr">
        <is>
          <t xml:space="preserve">V.drv</t>
        </is>
      </c>
      <c r="D101" s="49">
        <f>D93</f>
      </c>
      <c r="E101" s="26" t="inlineStr">
        <is>
          <t xml:space="preserve">V</t>
        </is>
      </c>
      <c r="F101" s="2">
        <v>18.0</v>
      </c>
    </row>
    <row r="102">
      <c r="B102" s="1" t="inlineStr">
        <is>
          <t xml:space="preserve">Turn-on resistor (Value: min, driver temperature)</t>
        </is>
      </c>
      <c r="C102" s="1" t="inlineStr">
        <is>
          <t xml:space="preserve">R.on</t>
        </is>
      </c>
      <c r="D102" s="49">
        <f>CC!$C$100</f>
      </c>
      <c r="E102" s="26" t="inlineStr">
        <is>
          <t xml:space="preserve">Ω</t>
        </is>
      </c>
      <c r="F102" s="2">
        <v>47.0</v>
      </c>
    </row>
    <row r="103">
      <c r="B103" s="1" t="inlineStr">
        <is>
          <t xml:space="preserve">Turn-off resistor with D.off (Value: max, no overlap)</t>
        </is>
      </c>
      <c r="C103" s="1" t="inlineStr">
        <is>
          <t xml:space="preserve">R.off</t>
        </is>
      </c>
      <c r="D103" s="49">
        <f>CC!$C$115</f>
      </c>
      <c r="E103" s="26" t="inlineStr">
        <is>
          <t xml:space="preserve">Ω</t>
        </is>
      </c>
      <c r="F103" s="2">
        <v>10.0</v>
      </c>
    </row>
    <row r="104">
      <c r="B104" s="1" t="inlineStr">
        <is>
          <t xml:space="preserve">D.off forward voltage (0 = separate GOFF pin)</t>
        </is>
      </c>
      <c r="C104" s="1" t="inlineStr">
        <is>
          <t xml:space="preserve">V.F</t>
        </is>
      </c>
      <c r="D104" s="49"/>
      <c r="E104" s="26" t="inlineStr">
        <is>
          <t xml:space="preserve">V</t>
        </is>
      </c>
      <c r="F104" s="2">
        <v>0.7</v>
      </c>
    </row>
    <row r="105">
      <c r="B105" s="1" t="inlineStr">
        <is>
          <t xml:space="preserve">Gate-source capacitor, option (Value: needed)</t>
        </is>
      </c>
      <c r="C105" s="1" t="inlineStr">
        <is>
          <t xml:space="preserve">C.gs</t>
        </is>
      </c>
      <c r="D105" s="49">
        <f>CC!$C$107</f>
      </c>
      <c r="E105" s="26" t="inlineStr">
        <is>
          <t xml:space="preserve">nF</t>
        </is>
      </c>
      <c r="F105" s="2">
        <v>0</v>
      </c>
    </row>
    <row r="106">
      <c r="B106" s="1" t="inlineStr">
        <is>
          <t xml:space="preserve">Bootstrap capacitor (Value: min, 10 x C.gate)</t>
        </is>
      </c>
      <c r="C106" s="1" t="inlineStr">
        <is>
          <t xml:space="preserve">C.boot</t>
        </is>
      </c>
      <c r="D106" s="49">
        <f>CC!$C$116</f>
      </c>
      <c r="E106" s="26" t="inlineStr">
        <is>
          <t xml:space="preserve">nF</t>
        </is>
      </c>
      <c r="F106" s="2">
        <v>100</v>
      </c>
    </row>
    <row r="107">
      <c r="B107" s="1" t="inlineStr">
        <is>
          <t xml:space="preserve">Bootstrap resistor (Value: max, 1st pulse to V.bo.min)</t>
        </is>
      </c>
      <c r="C107" s="1" t="inlineStr">
        <is>
          <t xml:space="preserve">R.boot</t>
        </is>
      </c>
      <c r="D107" s="49">
        <f>CC!$C$118</f>
      </c>
      <c r="E107" s="26" t="inlineStr">
        <is>
          <t xml:space="preserve">Ω</t>
        </is>
      </c>
      <c r="F107" s="2">
        <v>3.3</v>
      </c>
    </row>
    <row r="108">
      <c r="B108" s="1" t="inlineStr">
        <is>
          <t xml:space="preserve">D.boot forward voltage</t>
        </is>
      </c>
      <c r="C108" s="1" t="inlineStr">
        <is>
          <t xml:space="preserve">V.F.boot</t>
        </is>
      </c>
      <c r="D108" s="49"/>
      <c r="E108" s="26" t="inlineStr">
        <is>
          <t xml:space="preserve">V</t>
        </is>
      </c>
      <c r="F108" s="2">
        <v>1.0</v>
      </c>
    </row>
    <row r="109">
      <c r="B109" s="20" t="inlineStr">
        <is>
          <t xml:space="preserve">Results</t>
        </is>
      </c>
      <c r="C109" s="20" t="inlineStr">
        <is>
          <t xml:space="preserve">Name</t>
        </is>
      </c>
      <c r="D109" s="20" t="inlineStr">
        <is>
          <t xml:space="preserve">Value</t>
        </is>
      </c>
      <c r="E109" s="20" t="inlineStr">
        <is>
          <t xml:space="preserve">Unit</t>
        </is>
      </c>
      <c r="F109" s="20" t="inlineStr">
        <is>
          <t xml:space="preserve">Check</t>
        </is>
      </c>
    </row>
    <row r="110">
      <c r="B110" s="1" t="inlineStr">
        <is>
          <t xml:space="preserve">Gate on delay: IC edge -&gt; channel on</t>
        </is>
      </c>
      <c r="C110" s="1" t="inlineStr">
        <is>
          <t xml:space="preserve">t.on</t>
        </is>
      </c>
      <c r="D110" s="49">
        <f>CC!$C$108</f>
      </c>
      <c r="E110" s="26" t="inlineStr">
        <is>
          <t xml:space="preserve">ns</t>
        </is>
      </c>
    </row>
    <row r="111">
      <c r="B111" s="1" t="inlineStr">
        <is>
          <t xml:space="preserve">Gate off delay: IC edge -&gt; channel off</t>
        </is>
      </c>
      <c r="C111" s="1" t="inlineStr">
        <is>
          <t xml:space="preserve">t.off</t>
        </is>
      </c>
      <c r="D111" s="49">
        <f>CC!$C$109</f>
      </c>
      <c r="E111" s="26" t="inlineStr">
        <is>
          <t xml:space="preserve">ns</t>
        </is>
      </c>
    </row>
    <row r="112">
      <c r="B112" s="1" t="inlineStr">
        <is>
          <t xml:space="preserve">Dead time needed in run (ADT 40-420 ns)</t>
        </is>
      </c>
      <c r="C112" s="1" t="inlineStr">
        <is>
          <t xml:space="preserve">t.D.need</t>
        </is>
      </c>
      <c r="D112" s="49">
        <f>CC!$C$111</f>
      </c>
      <c r="E112" s="26" t="inlineStr">
        <is>
          <t xml:space="preserve">ns</t>
        </is>
      </c>
      <c r="F112" s="1">
        <f>IF(AND(D112&gt;=40,D112&lt;=420),"OK","CHECK")</f>
      </c>
    </row>
    <row r="113">
      <c r="B113" s="1" t="inlineStr">
        <is>
          <t xml:space="preserve">Gate voltage, end of start-up pulse (&gt;= 10 V)</t>
        </is>
      </c>
      <c r="C113" s="1" t="inlineStr">
        <is>
          <t xml:space="preserve">V.g.su</t>
        </is>
      </c>
      <c r="D113" s="49">
        <f>CC!$C$91</f>
      </c>
      <c r="E113" s="26" t="inlineStr">
        <is>
          <t xml:space="preserve">V</t>
        </is>
      </c>
      <c r="F113" s="1">
        <f>IF(D113&gt;=10,"OK","CHECK")</f>
      </c>
    </row>
    <row r="114">
      <c r="B114" s="1" t="inlineStr">
        <is>
          <t xml:space="preserve">V.BS after the first LOUT pulse (&gt;= V.bo.min)</t>
        </is>
      </c>
      <c r="C114" s="1" t="inlineStr">
        <is>
          <t xml:space="preserve">V.bs.1</t>
        </is>
      </c>
      <c r="D114" s="49">
        <f>CC!$C$119</f>
      </c>
      <c r="E114" s="26" t="inlineStr">
        <is>
          <t xml:space="preserve">V</t>
        </is>
      </c>
      <c r="F114" s="1">
        <f>IF(D114&gt;=D99,"OK","CHECK")</f>
      </c>
    </row>
    <row r="115">
      <c r="B115" s="1" t="inlineStr">
        <is>
          <t xml:space="preserve">V.BS lowest, steady at f.SU</t>
        </is>
      </c>
      <c r="C115" s="1" t="inlineStr">
        <is>
          <t xml:space="preserve">V.bs.min</t>
        </is>
      </c>
      <c r="D115" s="49">
        <f>CC!$C$121</f>
      </c>
      <c r="E115" s="26" t="inlineStr">
        <is>
          <t xml:space="preserve">V</t>
        </is>
      </c>
    </row>
    <row r="116">
      <c r="B116" s="1" t="inlineStr">
        <is>
          <t xml:space="preserve">Gate-off margin vs Miller kick (&gt; 1)</t>
        </is>
      </c>
      <c r="C116" s="1" t="inlineStr">
        <is>
          <t xml:space="preserve">k.Miller</t>
        </is>
      </c>
      <c r="D116" s="49">
        <f>CC!$C$106</f>
      </c>
      <c r="E116" s="26" t="inlineStr">
        <is>
          <t xml:space="preserve">-</t>
        </is>
      </c>
      <c r="F116" s="1">
        <f>IF(D116&gt;=1,"OK","CHECK")</f>
      </c>
    </row>
    <row r="117">
      <c r="B117" s="1" t="inlineStr">
        <is>
          <t xml:space="preserve">Driver junction at f.Max and Ta (&lt;= Tj.max)</t>
        </is>
      </c>
      <c r="C117" s="1" t="inlineStr">
        <is>
          <t xml:space="preserve">Tj.drv</t>
        </is>
      </c>
      <c r="D117" s="49">
        <f>CC!$C$124</f>
      </c>
      <c r="E117" s="26" t="inlineStr">
        <is>
          <t xml:space="preserve">˚C</t>
        </is>
      </c>
      <c r="F117" s="1">
        <f>IF(D117&lt;=D98,"OK","CHECK")</f>
      </c>
    </row>
    <row r="118">
      <c r="B118" s="1" t="inlineStr">
        <is>
          <t xml:space="preserve">R.on dissipation at f.Max (rating &gt;= 2x)</t>
        </is>
      </c>
      <c r="C118" s="1" t="inlineStr">
        <is>
          <t xml:space="preserve">P.Ron</t>
        </is>
      </c>
      <c r="D118" s="49">
        <f>CC!$C$122</f>
      </c>
      <c r="E118" s="26" t="inlineStr">
        <is>
          <t xml:space="preserve">W</t>
        </is>
      </c>
    </row>
    <row r="119">
      <c r="B119" s="1" t="inlineStr">
        <is>
          <t xml:space="preserve">R.off dissipation at f.Max (rating &gt;= 2x)</t>
        </is>
      </c>
      <c r="C119" s="1" t="inlineStr">
        <is>
          <t xml:space="preserve">P.Roff</t>
        </is>
      </c>
      <c r="D119" s="49">
        <f>CC!$C$123</f>
      </c>
      <c r="E119" s="26" t="inlineStr">
        <is>
          <t xml:space="preserve">W</t>
        </is>
      </c>
    </row>
    <row r="120"/>
    <row r="121" spans="2:14" ht="18" customHeight="1">
      <c r="B12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21" s="19"/>
      <c r="F121" s="76"/>
      <c r="G121" s="76"/>
      <c r="H121" s="76"/>
      <c r="I121" s="76"/>
      <c r="J121" s="76"/>
      <c r="K121" s="76"/>
      <c r="L121" s="76"/>
      <c r="M121" s="76"/>
      <c r="N121" s="76"/>
    </row>
    <row r="122" spans="2:14" ht="14.25" customHeight="1">
      <c r="B122" s="1"/>
      <c r="C122" s="1"/>
      <c r="D122" s="77"/>
      <c r="E122" s="1"/>
      <c r="F122" s="76"/>
      <c r="G122" s="76"/>
      <c r="H122" s="76"/>
      <c r="I122" s="76"/>
      <c r="J122" s="76"/>
      <c r="K122" s="76"/>
      <c r="L122" s="76"/>
      <c r="M122" s="76"/>
      <c r="N122" s="76"/>
    </row>
    <row r="123" spans="2:14" ht="15.75" customHeight="1">
      <c r="B123" s="20" t="s">
        <v>356</v>
      </c>
      <c r="C123" s="20" t="s">
        <v>132</v>
      </c>
      <c r="D123" s="20" t="s">
        <v>133</v>
      </c>
      <c r="E123" s="20" t="s">
        <v>431</v>
      </c>
      <c r="F123" s="76"/>
      <c r="G123" s="76"/>
      <c r="H123" s="76"/>
      <c r="I123" s="76"/>
      <c r="J123" s="76"/>
      <c r="K123" s="76"/>
      <c r="L123" s="76"/>
      <c r="M123" s="76"/>
      <c r="N123" s="76"/>
    </row>
    <row r="124" spans="2:14" ht="15" customHeight="1">
      <c r="B124" s="1" t="s">
        <v>1086</v>
      </c>
      <c r="C124" s="1" t="s">
        <v>1187</v>
      </c>
      <c r="D124" s="49">
        <f>CC!J25</f>
        <v>28.329125161562832</v>
      </c>
      <c r="E124" s="1" t="s">
        <v>237</v>
      </c>
      <c r="F124" s="65"/>
      <c r="G124" s="76"/>
      <c r="H124" s="76"/>
      <c r="I124" s="76"/>
      <c r="J124" s="76"/>
      <c r="K124" s="76"/>
      <c r="L124" s="76"/>
      <c r="M124" s="76"/>
      <c r="N124" s="76"/>
    </row>
    <row r="125" spans="2:14" ht="15" customHeight="1">
      <c r="B125" s="1" t="s">
        <v>1087</v>
      </c>
      <c r="C125" s="1" t="s">
        <v>1188</v>
      </c>
      <c r="D125" s="49">
        <f>CC!J26</f>
        <v>28.329125161562832</v>
      </c>
      <c r="E125" s="1" t="s">
        <v>237</v>
      </c>
      <c r="F125" s="65"/>
      <c r="G125" s="76"/>
      <c r="H125" s="76"/>
      <c r="I125" s="76"/>
      <c r="J125" s="76"/>
      <c r="K125" s="76"/>
      <c r="L125" s="76"/>
      <c r="M125" s="76"/>
      <c r="N125" s="76"/>
    </row>
    <row r="126" spans="2:14" ht="15" customHeight="1">
      <c r="B126" s="1" t="s">
        <v>1088</v>
      </c>
      <c r="C126" s="1" t="s">
        <v>432</v>
      </c>
      <c r="D126" s="49">
        <f>CC!E24</f>
        <v>98.617963506893403</v>
      </c>
      <c r="E126" s="1" t="s">
        <v>237</v>
      </c>
      <c r="F126" s="76"/>
      <c r="G126" s="76"/>
      <c r="H126" s="76"/>
      <c r="I126" s="76"/>
      <c r="J126" s="76"/>
      <c r="K126" s="76"/>
      <c r="L126" s="76"/>
      <c r="M126" s="76"/>
      <c r="N126" s="76"/>
    </row>
    <row r="127" spans="2:14" ht="15" customHeight="1">
      <c r="B127" s="1" t="s">
        <v>1089</v>
      </c>
      <c r="C127" s="1" t="s">
        <v>1090</v>
      </c>
      <c r="D127" s="49">
        <f>IF(ISNUMBER(F125),F125,D125)/D143</f>
        <v>14.164562580781416</v>
      </c>
      <c r="E127" s="1" t="s">
        <v>237</v>
      </c>
      <c r="F127" s="76"/>
      <c r="G127" s="76"/>
      <c r="H127" s="76"/>
      <c r="I127" s="76"/>
      <c r="J127" s="76"/>
      <c r="K127" s="76"/>
      <c r="L127" s="76"/>
      <c r="M127" s="76"/>
      <c r="N127" s="76"/>
    </row>
    <row r="128" spans="2:14" ht="15" customHeight="1">
      <c r="B128" s="20" t="s">
        <v>356</v>
      </c>
      <c r="C128" s="20" t="s">
        <v>132</v>
      </c>
      <c r="D128" s="20" t="s">
        <v>133</v>
      </c>
      <c r="E128" s="20" t="s">
        <v>431</v>
      </c>
      <c r="F128" s="76"/>
      <c r="G128" s="76"/>
      <c r="H128" s="76"/>
      <c r="I128" s="76"/>
      <c r="J128" s="76"/>
      <c r="K128" s="76"/>
      <c r="L128" s="76"/>
      <c r="M128" s="76"/>
      <c r="N128" s="76"/>
    </row>
    <row r="129" spans="2:14" ht="15" customHeight="1">
      <c r="B129" s="1" t="s">
        <v>1091</v>
      </c>
      <c r="C129" s="1" t="s">
        <v>415</v>
      </c>
      <c r="D129" s="49">
        <f>1.2*2*'Design Spec'!$D$95/'Design Spec'!$D$107</f>
        <v>60</v>
      </c>
      <c r="E129" s="1" t="s">
        <v>150</v>
      </c>
      <c r="F129" s="76"/>
      <c r="G129" s="76"/>
      <c r="H129" s="76"/>
      <c r="I129" s="76"/>
      <c r="J129" s="76"/>
      <c r="K129" s="76"/>
      <c r="L129" s="76"/>
      <c r="M129" s="76"/>
      <c r="N129" s="76"/>
    </row>
    <row r="130" spans="2:14" ht="14.25" customHeight="1">
      <c r="B130" s="1" t="s">
        <v>1092</v>
      </c>
      <c r="C130" s="1" t="s">
        <v>416</v>
      </c>
      <c r="D130" s="49">
        <f>1.2*D126</f>
        <v>118.34155620827208</v>
      </c>
      <c r="E130" s="1" t="s">
        <v>237</v>
      </c>
      <c r="F130" s="76"/>
      <c r="G130" s="76"/>
      <c r="H130" s="76"/>
      <c r="I130" s="76"/>
      <c r="J130" s="76"/>
      <c r="K130" s="76"/>
      <c r="L130" s="76"/>
      <c r="M130" s="76"/>
      <c r="N130" s="76"/>
    </row>
    <row r="131" spans="2:14" ht="14.25" customHeight="1">
      <c r="B131" s="1" t="s">
        <v>1093</v>
      </c>
      <c r="C131" s="1" t="s">
        <v>1094</v>
      </c>
      <c r="D131" s="49">
        <f>D126/D143</f>
        <v>49.308981753446702</v>
      </c>
      <c r="E131" s="1" t="s">
        <v>237</v>
      </c>
      <c r="F131" s="76"/>
      <c r="G131" s="76"/>
      <c r="H131" s="76"/>
      <c r="I131" s="76"/>
      <c r="J131" s="76"/>
      <c r="K131" s="76"/>
      <c r="L131" s="76"/>
      <c r="M131" s="76"/>
      <c r="N131" s="76"/>
    </row>
    <row r="132" spans="2:14" ht="15.75" customHeight="1">
      <c r="B132" s="20" t="s">
        <v>417</v>
      </c>
      <c r="C132" s="202" t="s">
        <v>1202</v>
      </c>
      <c r="D132" s="202"/>
      <c r="E132" s="202"/>
      <c r="F132" s="76"/>
      <c r="G132" s="76"/>
      <c r="H132" s="76"/>
      <c r="I132" s="76"/>
      <c r="J132" s="76"/>
      <c r="K132" s="76"/>
      <c r="L132" s="76"/>
      <c r="M132" s="76"/>
      <c r="N132" s="76"/>
    </row>
    <row r="133" spans="2:14" ht="14.25" customHeight="1">
      <c r="B133" s="1" t="s">
        <v>1095</v>
      </c>
      <c r="C133" s="1" t="s">
        <v>1096</v>
      </c>
      <c r="D133" s="2">
        <v>2</v>
      </c>
      <c r="E133" s="26" t="s">
        <v>181</v>
      </c>
      <c r="F133" s="76"/>
    </row>
    <row r="134" spans="2:14" ht="15.75" customHeight="1">
      <c r="B134" s="20" t="s">
        <v>356</v>
      </c>
      <c r="C134" s="20" t="s">
        <v>132</v>
      </c>
      <c r="D134" s="20" t="s">
        <v>133</v>
      </c>
      <c r="E134" s="20" t="s">
        <v>134</v>
      </c>
    </row>
    <row r="135" spans="2:14" ht="14.25" customHeight="1">
      <c r="B135" s="1" t="s">
        <v>1097</v>
      </c>
      <c r="C135" s="1" t="s">
        <v>403</v>
      </c>
      <c r="D135" s="2">
        <v>0</v>
      </c>
      <c r="E135" s="1" t="s">
        <v>150</v>
      </c>
    </row>
    <row r="136" spans="2:14" ht="15" customHeight="1">
      <c r="B136" s="1" t="s">
        <v>1219</v>
      </c>
      <c r="C136" s="1" t="s">
        <v>433</v>
      </c>
      <c r="D136" s="2">
        <v>3.7000000000000002E-3</v>
      </c>
      <c r="E136" s="26" t="s">
        <v>175</v>
      </c>
    </row>
    <row r="137" spans="2:5" ht="15" customHeight="1">
      <c r="B137" s="1" t="s">
        <v>423</v>
      </c>
      <c r="C137" s="1" t="s">
        <v>424</v>
      </c>
      <c r="D137" s="2">
        <v>25</v>
      </c>
      <c r="E137" s="26" t="s">
        <v>425</v>
      </c>
    </row>
    <row r="138" spans="2:5" ht="15">
      <c r="B138" s="1" t="s">
        <v>1217</v>
      </c>
      <c r="C138" s="1" t="s">
        <v>1098</v>
      </c>
      <c r="D138" s="2">
        <v>1.9</v>
      </c>
      <c r="E138" s="26" t="s">
        <v>181</v>
      </c>
    </row>
    <row r="139" spans="2:5" ht="15.75" customHeight="1">
      <c r="B139" s="20" t="s">
        <v>356</v>
      </c>
      <c r="C139" s="20" t="s">
        <v>132</v>
      </c>
      <c r="D139" s="20" t="s">
        <v>133</v>
      </c>
      <c r="E139" s="20" t="s">
        <v>134</v>
      </c>
    </row>
    <row r="140" spans="2:5" ht="14.25" customHeight="1">
      <c r="B140" s="1" t="s">
        <v>1084</v>
      </c>
      <c r="C140" s="1" t="s">
        <v>434</v>
      </c>
      <c r="D140" s="49">
        <f>IF(D133=2,0,0.5*D135*'Preliminary Calculation'!D7/D143)+D136*D138*D127^2</f>
        <v>1.4104628767272578</v>
      </c>
      <c r="E140" s="1" t="s">
        <v>161</v>
      </c>
    </row>
    <row r="141" spans="2:5" ht="15" customHeight="1">
      <c r="B141" s="1" t="s">
        <v>1099</v>
      </c>
      <c r="C141" s="1" t="s">
        <v>429</v>
      </c>
      <c r="D141" s="49">
        <f>(125-D137)/D140</f>
        <v>70.898711089818406</v>
      </c>
      <c r="E141" s="1" t="s">
        <v>430</v>
      </c>
    </row>
    <row r="142" spans="2:5" ht="14.25" customHeight="1">
      <c r="B142" s="1" t="s">
        <v>1100</v>
      </c>
      <c r="C142" s="1" t="s">
        <v>435</v>
      </c>
      <c r="D142" s="49">
        <f>D140*D143*2*'Design Spec'!$D$107</f>
        <v>5.6418515069090311</v>
      </c>
      <c r="E142" s="1" t="s">
        <v>161</v>
      </c>
    </row>
    <row r="143" spans="2:5" ht="15">
      <c r="B143" s="1" t="s">
        <v>1101</v>
      </c>
      <c r="C143" s="1" t="s">
        <v>1102</v>
      </c>
      <c r="D143" s="2">
        <v>2</v>
      </c>
      <c r="E143" s="26" t="s">
        <v>181</v>
      </c>
    </row>
    <row r="144" spans="2:5" ht="18" customHeight="1">
      <c r="B144" s="28" t="s">
        <v>436</v>
      </c>
      <c r="C144" s="28" t="s">
        <v>437</v>
      </c>
      <c r="D144" s="78"/>
      <c r="E144" s="79"/>
    </row>
    <row r="145" spans="2:5" ht="14.25" customHeight="1">
      <c r="B145" s="80"/>
      <c r="C145" s="80"/>
      <c r="E145" s="81"/>
    </row>
    <row r="146" spans="2:5" ht="14.25" customHeight="1">
      <c r="B146" s="80"/>
      <c r="C146" s="80"/>
      <c r="E146" s="81"/>
    </row>
    <row r="147" spans="2:5" ht="14.25" customHeight="1">
      <c r="B147" s="80"/>
      <c r="C147" s="80"/>
      <c r="E147" s="81"/>
    </row>
    <row r="148" spans="2:5" ht="14.25" customHeight="1">
      <c r="B148" s="80"/>
      <c r="C148" s="80"/>
      <c r="E148" s="81"/>
    </row>
    <row r="149" spans="2:5" ht="14.25" customHeight="1">
      <c r="B149" s="80"/>
      <c r="C149" s="80"/>
      <c r="E149" s="81"/>
    </row>
    <row r="150" spans="2:5" ht="14.25" customHeight="1">
      <c r="B150" s="80"/>
      <c r="C150" s="80"/>
      <c r="E150" s="81"/>
    </row>
    <row r="151" spans="2:5" ht="14.25" customHeight="1">
      <c r="B151" s="80"/>
      <c r="C151" s="80"/>
      <c r="E151" s="81"/>
    </row>
    <row r="152" spans="2:5" ht="14.25" customHeight="1">
      <c r="B152" s="80"/>
      <c r="C152" s="80"/>
      <c r="E152" s="81"/>
    </row>
    <row r="153" spans="2:5" ht="14.25" customHeight="1">
      <c r="B153" s="80"/>
      <c r="C153" s="80"/>
      <c r="E153" s="81"/>
    </row>
    <row r="154" spans="2:5" ht="14.25" customHeight="1">
      <c r="B154" s="80"/>
      <c r="C154" s="80"/>
      <c r="E154" s="81"/>
    </row>
    <row r="155" spans="2:5" ht="14.25" customHeight="1">
      <c r="B155" s="80"/>
      <c r="C155" s="80"/>
      <c r="E155" s="81"/>
    </row>
    <row r="156" spans="2:5" ht="14.25" customHeight="1">
      <c r="B156" s="80"/>
      <c r="C156" s="80"/>
      <c r="E156" s="81"/>
    </row>
    <row r="157" spans="2:5" ht="14.25" customHeight="1">
      <c r="B157" s="80"/>
      <c r="C157" s="80"/>
      <c r="E157" s="81"/>
    </row>
    <row r="158" spans="2:5" ht="14.25" customHeight="1">
      <c r="B158" s="80"/>
      <c r="C158" s="80"/>
      <c r="E158" s="81"/>
    </row>
    <row r="159" spans="2:5" ht="14.25" customHeight="1">
      <c r="B159" s="82"/>
      <c r="C159" s="82"/>
      <c r="D159" s="83"/>
      <c r="E159" s="84"/>
    </row>
  </sheetData>
  <mergeCells count="4">
    <mergeCell ref="C89:E89"/>
    <mergeCell ref="C50:E50"/>
    <mergeCell ref="C67:E67"/>
    <mergeCell ref="C132:E13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Components'!$C$132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2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88-119</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Components'!$F$101</f>
      </c>
      <c r="D82" s="10" t="inlineStr">
        <is>
          <t xml:space="preserve">V</t>
        </is>
      </c>
    </row>
    <row r="83">
      <c r="B83" s="10" t="inlineStr">
        <is>
          <t xml:space="preserve">Gate capacitance per position: n.par x C.g + C.gs</t>
        </is>
      </c>
      <c r="C83" s="87">
        <f>'Power Components'!$D$68*'Power Components'!$D$76+'Power Components'!$F$105</f>
      </c>
      <c r="D83" s="10" t="inlineStr">
        <is>
          <t xml:space="preserve">nF</t>
        </is>
      </c>
    </row>
    <row r="84">
      <c r="B84" s="10" t="inlineStr">
        <is>
          <t xml:space="preserve">Internal gate resistance per position</t>
        </is>
      </c>
      <c r="C84" s="87">
        <f>'Power Components'!$D$78/'Power Components'!$D$68</f>
      </c>
      <c r="D84" s="10" t="inlineStr">
        <is>
          <t xml:space="preserve">Ω</t>
        </is>
      </c>
    </row>
    <row r="85">
      <c r="B85" s="10" t="inlineStr">
        <is>
          <t xml:space="preserve">Turn-off path resistance</t>
        </is>
      </c>
      <c r="C85" s="87">
        <f>IF('Power Components'!$F$104=0,'Power Components'!$F$103,IF('Power Components'!$F$103&gt;0,'Power Components'!$F$103*'Power Components'!$F$102/('Power Components'!$F$103+'Power Components'!$F$102),'Power Components'!$F$102))</f>
      </c>
      <c r="D85" s="10" t="inlineStr">
        <is>
          <t xml:space="preserve">Ω</t>
        </is>
      </c>
    </row>
    <row r="86">
      <c r="B86" s="10" t="inlineStr">
        <is>
          <t xml:space="preserve">Turn-off path offset (D.off)</t>
        </is>
      </c>
      <c r="C86" s="87">
        <f>IF(AND('Power Components'!$F$104&gt;0,'Power Components'!$F$103&gt;0),'Power Components'!$F$104*'Power Components'!$F$102/('Power Components'!$F$103+'Power Components'!$F$102),0)</f>
      </c>
      <c r="D86" s="10" t="inlineStr">
        <is>
          <t xml:space="preserve">V</t>
        </is>
      </c>
    </row>
    <row r="87">
      <c r="B87" s="10" t="inlineStr">
        <is>
          <t xml:space="preserve">τ.on = (R.so + R.on + R.gi) C.G</t>
        </is>
      </c>
      <c r="C87" s="87">
        <f>(C80+'Power Components'!$F$102+C84)*C83</f>
      </c>
      <c r="D87" s="10" t="inlineStr">
        <is>
          <t xml:space="preserve">ns</t>
        </is>
      </c>
    </row>
    <row r="88">
      <c r="B88" s="10" t="inlineStr">
        <is>
          <t xml:space="preserve">τ.off = (R.si + R.off.eff + R.gi) C.G</t>
        </is>
      </c>
      <c r="C88" s="87">
        <f>(C81+C85+C84)*C83</f>
      </c>
      <c r="D88" s="10" t="inlineStr">
        <is>
          <t xml:space="preserve">ns</t>
        </is>
      </c>
    </row>
    <row r="89">
      <c r="B89" s="10" t="inlineStr">
        <is>
          <t xml:space="preserve">Start-up pulse T/2 - t.D.su (also the first LOUT pulse)</t>
        </is>
      </c>
      <c r="C89" s="87">
        <f>10^6/(2*'Device Setting'!$D$29)-C78</f>
      </c>
      <c r="D89" s="10" t="inlineStr">
        <is>
          <t xml:space="preserve">ns</t>
        </is>
      </c>
    </row>
    <row r="90">
      <c r="B90" s="10" t="inlineStr">
        <is>
          <t xml:space="preserve">Pulse at f.Max: T/2 - t.D</t>
        </is>
      </c>
      <c r="C90" s="87">
        <f>10^6/(2*'Device Setting'!$D$27)-'Design Spec'!$D$47</f>
      </c>
      <c r="D90" s="10" t="inlineStr">
        <is>
          <t xml:space="preserve">ns</t>
        </is>
      </c>
    </row>
    <row r="91">
      <c r="B91" s="10" t="inlineStr">
        <is>
          <t xml:space="preserve">Gate voltage at the end of the start-up pulse</t>
        </is>
      </c>
      <c r="C91" s="87">
        <f>C82*(1-EXP(-C89/C87))</f>
      </c>
      <c r="D91" s="10" t="inlineStr">
        <is>
          <t xml:space="preserve">V</t>
        </is>
      </c>
    </row>
    <row r="92">
      <c r="B92" s="10" t="inlineStr">
        <is>
          <t xml:space="preserve">Gate voltage at the end of the f.Max pulse</t>
        </is>
      </c>
      <c r="C92" s="87">
        <f>C82*(1-EXP(-C90/C87))</f>
      </c>
      <c r="D92" s="10" t="inlineStr">
        <is>
          <t xml:space="preserve">V</t>
        </is>
      </c>
    </row>
    <row r="93">
      <c r="B93" s="10" t="inlineStr">
        <is>
          <t xml:space="preserve">Energy per turn-on at f.Max</t>
        </is>
      </c>
      <c r="C93" s="87">
        <f>C83*C92*(C82-C92/2)</f>
      </c>
      <c r="D93" s="10" t="inlineStr">
        <is>
          <t xml:space="preserve">nJ</t>
        </is>
      </c>
    </row>
    <row r="94">
      <c r="B94" s="10" t="inlineStr">
        <is>
          <t xml:space="preserve">Energy per turn-off at f.Max</t>
        </is>
      </c>
      <c r="C94" s="87">
        <f>C83*C92^2/2</f>
      </c>
      <c r="D94" s="10" t="inlineStr">
        <is>
          <t xml:space="preserve">nJ</t>
        </is>
      </c>
    </row>
    <row r="95">
      <c r="B95" s="10" t="inlineStr">
        <is>
          <t xml:space="preserve">Driver share of the turn-on energy</t>
        </is>
      </c>
      <c r="C95" s="87">
        <f>C80/(C80+'Power Components'!$F$102+C84)</f>
      </c>
      <c r="D95" s="10" t="inlineStr">
        <is>
          <t xml:space="preserve">-</t>
        </is>
      </c>
    </row>
    <row r="96">
      <c r="B96" s="10" t="inlineStr">
        <is>
          <t xml:space="preserve">Driver share of the turn-off energy</t>
        </is>
      </c>
      <c r="C96" s="87">
        <f>C81/(C81+C85+C84)</f>
      </c>
      <c r="D96" s="10" t="inlineStr">
        <is>
          <t xml:space="preserve">-</t>
        </is>
      </c>
    </row>
    <row r="97">
      <c r="B97" s="10" t="inlineStr">
        <is>
          <t xml:space="preserve">Driver power at f.Max, both positions + quiescent</t>
        </is>
      </c>
      <c r="C97" s="87">
        <f>2*(C93*C95+C94*C96)*'Device Setting'!$D$27*10^-6+'Power Components'!$D$96*C82/1000</f>
      </c>
      <c r="D97" s="10" t="inlineStr">
        <is>
          <t xml:space="preserve">W</t>
        </is>
      </c>
    </row>
    <row r="98">
      <c r="B98" s="10" t="inlineStr">
        <is>
          <t xml:space="preserve">Driver power budget: (Tj.max - Ta) / Rth - quiescent</t>
        </is>
      </c>
      <c r="C98" s="87">
        <f>('Power Components'!$D$98-'Power Components'!$D$73)/'Power Components'!$D$97-'Power Components'!$D$96*C82/1000</f>
      </c>
      <c r="D98" s="10" t="inlineStr">
        <is>
          <t xml:space="preserve">W</t>
        </is>
      </c>
    </row>
    <row r="99">
      <c r="B99" s="10" t="inlineStr">
        <is>
          <t xml:space="preserve">Turn-on share the budget allows</t>
        </is>
      </c>
      <c r="C99" s="87">
        <f>(C98-2*C94*C96*'Device Setting'!$D$27*10^-6)/(2*C93*'Device Setting'!$D$27*10^-6)</f>
      </c>
      <c r="D99" s="10" t="inlineStr">
        <is>
          <t xml:space="preserve">-</t>
        </is>
      </c>
    </row>
    <row r="100">
      <c r="B100" s="10" t="inlineStr">
        <is>
          <t xml:space="preserve">R.on minimum for the driver temperature</t>
        </is>
      </c>
      <c r="C100" s="87">
        <f>IF(C99&lt;=0,"lower V.drv",MAX(0,C80/C99-C80-C84))</f>
      </c>
      <c r="D100" s="10" t="inlineStr">
        <is>
          <t xml:space="preserve">Ω</t>
        </is>
      </c>
    </row>
    <row r="101">
      <c r="B101" s="10" t="inlineStr">
        <is>
          <t xml:space="preserve">Midpoint swing in run: c.HB V.bus,max / I.Lm.pk</t>
        </is>
      </c>
      <c r="C101" s="87">
        <f>'Design Spec'!$D$46*SQRT(2)*'Design Spec'!$D$14/'Res. Tank Design'!$D$73/1000</f>
      </c>
      <c r="D101" s="10" t="inlineStr">
        <is>
          <t xml:space="preserve">ns</t>
        </is>
      </c>
    </row>
    <row r="102">
      <c r="B102" s="10" t="inlineStr">
        <is>
          <t xml:space="preserve">Midpoint swing at start-up: c.HB V.bus,FB / I.su</t>
        </is>
      </c>
      <c r="C102" s="87">
        <f>'Design Spec'!$D$46*C79/'Res. Tank Design'!$D$84/1000</f>
      </c>
      <c r="D102" s="10" t="inlineStr">
        <is>
          <t xml:space="preserve">ns</t>
        </is>
      </c>
    </row>
    <row r="103">
      <c r="B103" s="10" t="inlineStr">
        <is>
          <t xml:space="preserve">Miller current into an off gate during the faster swing</t>
        </is>
      </c>
      <c r="C103" s="87">
        <f>'Power Components'!$D$68*'Power Components'!$D$82/MIN(C101,C102)</f>
      </c>
      <c r="D103" s="10" t="inlineStr">
        <is>
          <t xml:space="preserve">A</t>
        </is>
      </c>
    </row>
    <row r="104">
      <c r="B104" s="10" t="inlineStr">
        <is>
          <t xml:space="preserve">Gate kick, resistive estimate: i.M x sink path</t>
        </is>
      </c>
      <c r="C104" s="87">
        <f>C103*(C81+C85+C84)</f>
      </c>
      <c r="D104" s="10" t="inlineStr">
        <is>
          <t xml:space="preserve">V</t>
        </is>
      </c>
    </row>
    <row r="105">
      <c r="B105" s="10" t="inlineStr">
        <is>
          <t xml:space="preserve">Gate kick, capacitive bound: Q.gd / (C.gs + C.gs option)</t>
        </is>
      </c>
      <c r="C105" s="87">
        <f>'Power Components'!$D$68*'Power Components'!$D$82/('Power Components'!$D$68*'Power Components'!$D$77+'Power Components'!$F$105)</f>
      </c>
      <c r="D105" s="10" t="inlineStr">
        <is>
          <t xml:space="preserve">V</t>
        </is>
      </c>
    </row>
    <row r="106">
      <c r="B106" s="10" t="inlineStr">
        <is>
          <t xml:space="preserve">k.Miller = V.th min / the smaller kick</t>
        </is>
      </c>
      <c r="C106" s="87">
        <f>'Power Components'!$D$81/MIN(C104,C105)</f>
      </c>
      <c r="D106" s="10" t="inlineStr">
        <is>
          <t xml:space="preserve">-</t>
        </is>
      </c>
    </row>
    <row r="107">
      <c r="B107" s="10" t="inlineStr">
        <is>
          <t xml:space="preserve">C.gs needed (0 if the gate holds without it)</t>
        </is>
      </c>
      <c r="C107" s="87">
        <f>IF(MIN(C104,C105)&lt;='Power Components'!$D$81,0,MAX(0,'Power Components'!$D$68*('Power Components'!$D$82/'Power Components'!$D$81-'Power Components'!$D$77)))</f>
      </c>
      <c r="D107" s="10" t="inlineStr">
        <is>
          <t xml:space="preserve">nF</t>
        </is>
      </c>
    </row>
    <row r="108">
      <c r="B108" s="10" t="inlineStr">
        <is>
          <t xml:space="preserve">t.on: IC edge -&gt; V.th</t>
        </is>
      </c>
      <c r="C108" s="87">
        <f>'Power Components'!$D$94+C87*LN(C82/(C82-'Power Components'!$D$80))</f>
      </c>
      <c r="D108" s="10" t="inlineStr">
        <is>
          <t xml:space="preserve">ns</t>
        </is>
      </c>
    </row>
    <row r="109">
      <c r="B109" s="10" t="inlineStr">
        <is>
          <t xml:space="preserve">t.off: IC edge -&gt; below V.th min</t>
        </is>
      </c>
      <c r="C109" s="87">
        <f>IF('Power Components'!$D$81&gt;C86,'Power Components'!$D$94+C88*LN((C82-C86)/('Power Components'!$D$81-C86)),"never")</f>
      </c>
      <c r="D109" s="10" t="inlineStr">
        <is>
          <t xml:space="preserve">ns</t>
        </is>
      </c>
    </row>
    <row r="110">
      <c r="B110" s="10" t="inlineStr">
        <is>
          <t xml:space="preserve">IC edge -&gt; plateau on the way down</t>
        </is>
      </c>
      <c r="C110" s="87">
        <f>'Power Components'!$D$94+C88*LN((C82-C86)/('Power Components'!$D$79-C86))</f>
      </c>
      <c r="D110" s="10" t="inlineStr">
        <is>
          <t xml:space="preserve">ns</t>
        </is>
      </c>
    </row>
    <row r="111">
      <c r="B111" s="10" t="inlineStr">
        <is>
          <t xml:space="preserve">t.D.need = (t.off.pl - t.pd) + swing - (t.on - t.pd) + MT</t>
        </is>
      </c>
      <c r="C111" s="87">
        <f>C110-C108+C101+'Power Components'!$D$95</f>
      </c>
      <c r="D111" s="10" t="inlineStr">
        <is>
          <t xml:space="preserve">ns</t>
        </is>
      </c>
    </row>
    <row r="112">
      <c r="B112" s="10" t="inlineStr">
        <is>
          <t xml:space="preserve">Turn-off path that holds the gate below V.th min against the Miller current</t>
        </is>
      </c>
      <c r="C112" s="87">
        <f>'Power Components'!$D$81/C103-C81-C84</f>
      </c>
      <c r="D112" s="10" t="inlineStr">
        <is>
          <t xml:space="preserve">Ω</t>
        </is>
      </c>
    </row>
    <row r="113">
      <c r="B113" s="10" t="inlineStr">
        <is>
          <t xml:space="preserve">Turn-off path that has the gate off before the other side turns on (t.D + t.on)</t>
        </is>
      </c>
      <c r="C113" s="87">
        <f>('Design Spec'!$D$47+C108-'Power Components'!$D$94)/(LN((C82-C86)/('Power Components'!$D$81-C86))*C83)-C81-C84</f>
      </c>
      <c r="D113" s="10" t="inlineStr">
        <is>
          <t xml:space="preserve">Ω</t>
        </is>
      </c>
    </row>
    <row r="114">
      <c r="B114" s="10" t="inlineStr">
        <is>
          <t xml:space="preserve">Turn-off path maximum: the overlap limit, and the Miller limit unless C.gs alone holds</t>
        </is>
      </c>
      <c r="C114" s="87">
        <f>IF(C105&lt;='Power Components'!$D$81,C113,MIN(C113,C112))</f>
      </c>
      <c r="D114" s="10" t="inlineStr">
        <is>
          <t xml:space="preserve">Ω</t>
        </is>
      </c>
    </row>
    <row r="115">
      <c r="B115" s="10" t="inlineStr">
        <is>
          <t xml:space="preserve">R.off maximum (in parallel with R.on unless V.F = 0)</t>
        </is>
      </c>
      <c r="C115" s="87">
        <f>IF(C114&lt;=0,"lower R.on",IF('Power Components'!$F$104=0,C114,IF(C114&gt;='Power Components'!$F$102,"any",1/(1/C114-1/'Power Components'!$F$102))))</f>
      </c>
      <c r="D115" s="10" t="inlineStr">
        <is>
          <t xml:space="preserve">Ω</t>
        </is>
      </c>
    </row>
    <row r="116">
      <c r="B116" s="10" t="inlineStr">
        <is>
          <t xml:space="preserve">C.boot minimum: 10 x C.G</t>
        </is>
      </c>
      <c r="C116" s="87">
        <f>10*C83</f>
      </c>
      <c r="D116" s="10" t="inlineStr">
        <is>
          <t xml:space="preserve">nF</t>
        </is>
      </c>
    </row>
    <row r="117">
      <c r="B117" s="10" t="inlineStr">
        <is>
          <t xml:space="preserve">τ.boot (a diode alone taken as 0.5 Ω)</t>
        </is>
      </c>
      <c r="C117" s="87">
        <f>MAX('Power Components'!$F$107,0.5)*'Power Components'!$F$106</f>
      </c>
      <c r="D117" s="10" t="inlineStr">
        <is>
          <t xml:space="preserve">ns</t>
        </is>
      </c>
    </row>
    <row r="118">
      <c r="B118" s="10" t="inlineStr">
        <is>
          <t xml:space="preserve">R.boot maximum: the first LOUT pulse reaches V.bo.min</t>
        </is>
      </c>
      <c r="C118" s="87">
        <f>IF(C82-'Power Components'!$F$108&gt;'Power Components'!$D$99,C89/('Power Components'!$F$106*LN((C82-'Power Components'!$F$108)/(C82-'Power Components'!$F$108-'Power Components'!$D$99))),"V.drv too low")</f>
      </c>
      <c r="D118" s="10" t="inlineStr">
        <is>
          <t xml:space="preserve">Ω</t>
        </is>
      </c>
    </row>
    <row r="119">
      <c r="B119" s="10" t="inlineStr">
        <is>
          <t xml:space="preserve">V.BS after the first LOUT pulse</t>
        </is>
      </c>
      <c r="C119" s="87">
        <f>(C82-'Power Components'!$F$108)*(1-EXP(-C89/C117))</f>
      </c>
      <c r="D119" s="10" t="inlineStr">
        <is>
          <t xml:space="preserve">V</t>
        </is>
      </c>
    </row>
    <row r="120">
      <c r="B120" s="10" t="inlineStr">
        <is>
          <t xml:space="preserve">V.BS drop per high-side pulse at f.SU (gate charge + floating quiescent 120 uA)</t>
        </is>
      </c>
      <c r="C120" s="87">
        <f>C83*C91/'Power Components'!$F$106+0.00012*C89/'Power Components'!$F$106</f>
      </c>
      <c r="D120" s="10" t="inlineStr">
        <is>
          <t xml:space="preserve">V</t>
        </is>
      </c>
    </row>
    <row r="121">
      <c r="B121" s="10" t="inlineStr">
        <is>
          <t xml:space="preserve">V.BS lowest, steady at f.SU</t>
        </is>
      </c>
      <c r="C121" s="87">
        <f>C82-'Power Components'!$F$108-C120*EXP(-C89/C117)/(1-EXP(-C89/C117))-C120</f>
      </c>
      <c r="D121" s="10" t="inlineStr">
        <is>
          <t xml:space="preserve">V</t>
        </is>
      </c>
    </row>
    <row r="122">
      <c r="B122" s="10" t="inlineStr">
        <is>
          <t xml:space="preserve">P.Ron at f.Max</t>
        </is>
      </c>
      <c r="C122" s="87">
        <f>(C93*'Power Components'!$F$102/(C80+'Power Components'!$F$102+C84)+IF('Power Components'!$F$104=0,0,C94*C85/(C81+C85+C84)*C85/'Power Components'!$F$102))*'Device Setting'!$D$27*10^-6</f>
      </c>
      <c r="D122" s="10" t="inlineStr">
        <is>
          <t xml:space="preserve">W</t>
        </is>
      </c>
    </row>
    <row r="123">
      <c r="B123" s="10" t="inlineStr">
        <is>
          <t xml:space="preserve">P.Roff at f.Max</t>
        </is>
      </c>
      <c r="C123" s="87">
        <f>IF('Power Components'!$F$103&gt;0,C94*C85/(C81+C85+C84)*IF('Power Components'!$F$104=0,1,C85/'Power Components'!$F$103)*'Device Setting'!$D$27*10^-6,0)</f>
      </c>
      <c r="D123" s="10" t="inlineStr">
        <is>
          <t xml:space="preserve">W</t>
        </is>
      </c>
    </row>
    <row r="124">
      <c r="B124" s="10" t="inlineStr">
        <is>
          <t xml:space="preserve">Driver junction at f.Max and Ta (Power Components D73)</t>
        </is>
      </c>
      <c r="C124" s="87">
        <f>'Power Components'!$D$73+C97*'Power Components'!$D$97</f>
      </c>
      <c r="D12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