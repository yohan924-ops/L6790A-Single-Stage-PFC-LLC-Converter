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<sst xmlns="http://schemas.openxmlformats.org/spreadsheetml/2006/main" count="2127" uniqueCount="1232">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</sst>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measured 200 W copy, 2026-10-09 (user): the vendor-wound 5:2 transformers measure 10.3 uH open and 1.9/2.0/1.8 uH leakage (secondaries shorted) per unit, about half the 3.67 uH the tank was designed for. Tank re-checked for a 200 W test; stay out of 150-180 Vac, where the full-bridge line peak needs more than f.Max.</t>
        </is>
      </c>
    </row>
    <row r="119">
      <c r="B119" s="8" t="inlineStr">
        <is>
          <t xml:space="preserve">Design Spec</t>
        </is>
      </c>
      <c r="C119" s="8" t="inlineStr">
        <is>
          <t xml:space="preserve">D27</t>
        </is>
      </c>
      <c r="D119" s="8" t="inlineStr">
        <is>
          <t xml:space="preserve">657.5</t>
        </is>
      </c>
      <c r="E119" s="8" t="inlineStr">
        <is>
          <t xml:space="preserve">200</t>
        </is>
      </c>
      <c r="F119" s="8" t="inlineStr">
        <is>
          <t xml:space="preserve">Pout, W - 200 W bench test</t>
        </is>
      </c>
    </row>
    <row r="120">
      <c r="B120" s="8" t="inlineStr">
        <is>
          <t xml:space="preserve">Res. Tank Design</t>
        </is>
      </c>
      <c r="C120" s="8" t="inlineStr">
        <is>
          <t xml:space="preserve">F9</t>
        </is>
      </c>
      <c r="D120" s="8" t="inlineStr">
        <is>
          <t xml:space="preserve">6.0241</t>
        </is>
      </c>
      <c r="E120" s="8" t="inlineStr">
        <is>
          <t xml:space="preserve">6.773</t>
        </is>
      </c>
      <c r="F120" s="8" t="inlineStr">
        <is>
          <t xml:space="preserve">n effective = 7.5/sqrt(1 + L.r/L.m), measured lambda 0.226</t>
        </is>
      </c>
    </row>
    <row r="121">
      <c r="B121" s="8" t="inlineStr">
        <is>
          <t xml:space="preserve">Res. Tank Design</t>
        </is>
      </c>
      <c r="C121" s="8" t="inlineStr">
        <is>
          <t xml:space="preserve">F44</t>
        </is>
      </c>
      <c r="D121" s="8" t="inlineStr">
        <is>
          <t xml:space="preserve">11</t>
        </is>
      </c>
      <c r="E121" s="8" t="inlineStr">
        <is>
          <t xml:space="preserve">5.7</t>
        </is>
      </c>
      <c r="F121" s="8" t="inlineStr">
        <is>
          <t xml:space="preserve">L.r, uH - measured 1.9+2.0+1.8</t>
        </is>
      </c>
    </row>
    <row r="122">
      <c r="B122" s="8" t="inlineStr">
        <is>
          <t xml:space="preserve">Res. Tank Design</t>
        </is>
      </c>
      <c r="C122" s="8" t="inlineStr">
        <is>
          <t xml:space="preserve">F45</t>
        </is>
      </c>
      <c r="D122" s="8" t="inlineStr">
        <is>
          <t xml:space="preserve">20</t>
        </is>
      </c>
      <c r="E122" s="8" t="inlineStr">
        <is>
          <t xml:space="preserve">25.2</t>
        </is>
      </c>
      <c r="F122" s="8" t="inlineStr">
        <is>
          <t xml:space="preserve">L.m, uH - 3 x 10.3 measured open minus L.r</t>
        </is>
      </c>
    </row>
    <row r="123">
      <c r="B123" s="8" t="inlineStr">
        <is>
          <t xml:space="preserve">Device Setting</t>
        </is>
      </c>
      <c r="C123" s="8" t="inlineStr">
        <is>
          <t xml:space="preserve">F24</t>
        </is>
      </c>
      <c r="D123" s="8" t="inlineStr">
        <is>
          <t xml:space="preserve">11</t>
        </is>
      </c>
      <c r="E123" s="8" t="inlineStr">
        <is>
          <t xml:space="preserve">9.1</t>
        </is>
      </c>
      <c r="F123" s="8" t="inlineStr">
        <is>
          <t xml:space="preserve">R.T, kOhm - as fitted on the bench board (2026-10-14): f.Min 110 kHz, PF 0.98 at 110 Vac/50 Hz; 6.8 kOhm (f.Min 145 kHz) was the value that held 110 Vac 200 W on board 1, where 8.2 and 10 kOhm lost regulation after ~20 s; 11 kOhm (f.Min 92 kHz) failed too. Long-run 200 W check at 9.1 kOhm still open</t>
        </is>
      </c>
    </row>
    <row r="124">
      <c r="B124" s="8" t="inlineStr">
        <is>
          <t xml:space="preserve">Device Setting</t>
        </is>
      </c>
      <c r="C124" s="8" t="inlineStr">
        <is>
          <t xml:space="preserve">F61</t>
        </is>
      </c>
      <c r="D124" s="8" t="inlineStr">
        <is>
          <t xml:space="preserve">30</t>
        </is>
      </c>
      <c r="E124" s="8" t="inlineStr">
        <is>
          <t xml:space="preserve">16</t>
        </is>
      </c>
      <c r="F124" s="8" t="inlineStr">
        <is>
          <t xml:space="preserve">R.BM, kOhm - as fitted on the bench board (2026-10-11)</t>
        </is>
      </c>
    </row>
    <row r="125">
      <c r="B125" s="8" t="inlineStr">
        <is>
          <t xml:space="preserve">Device Setting</t>
        </is>
      </c>
      <c r="C125" s="8" t="inlineStr">
        <is>
          <t xml:space="preserve">F91</t>
        </is>
      </c>
      <c r="D125" s="8" t="inlineStr">
        <is>
          <t xml:space="preserve">220</t>
        </is>
      </c>
      <c r="E125" s="8" t="inlineStr">
        <is>
          <t xml:space="preserve">360</t>
        </is>
      </c>
      <c r="F125" s="8" t="inlineStr">
        <is>
          <t xml:space="preserve">R.ZCD.H, kOhm - as fitted on the bench board (2026-10-11; board 2 ran 540 kOhm until 2026-10-14, where the ZCD peak 1.3 V never reached the 1.36 V start-up end threshold); 20 pF on the ZCD pin. ZCD measured 2.0 V peak at 360 kOhm, so aux/sec is about 1.5, not the 1 this book assumes</t>
        </is>
      </c>
    </row>
    <row r="126">
      <c r="B126" s="8" t="inlineStr">
        <is>
          <t xml:space="preserve">Device Setting</t>
        </is>
      </c>
      <c r="C126" s="8" t="inlineStr">
        <is>
          <t xml:space="preserve">F108</t>
        </is>
      </c>
      <c r="D126" s="8" t="inlineStr">
        <is>
          <t xml:space="preserve">30</t>
        </is>
      </c>
      <c r="E126" s="8" t="inlineStr">
        <is>
          <t xml:space="preserve">13</t>
        </is>
      </c>
      <c r="F126" s="8" t="inlineStr">
        <is>
          <t xml:space="preserve">R.CFG, kOhm - as fitted on the bench board (2026-10-11); below the 15 kOhm of DS Table 6</t>
        </is>
      </c>
    </row>
    <row r="127">
      <c r="B127" s="8" t="inlineStr">
        <is>
          <t xml:space="preserve">Power Components</t>
        </is>
      </c>
      <c r="C127" s="8" t="inlineStr">
        <is>
          <t xml:space="preserve">F7</t>
        </is>
      </c>
      <c r="D127" s="8" t="inlineStr">
        <is>
          <t xml:space="preserve">2200</t>
        </is>
      </c>
      <c r="E127" s="8" t="inlineStr">
        <is>
          <t xml:space="preserve">660</t>
        </is>
      </c>
      <c r="F127" s="8" t="inlineStr">
        <is>
          <t xml:space="preserve">C.in, nF - as fitted on the bench board (2 x 330 nF, 2026-10-12); C.in.min = 3 nF/W x P.in = 617 nF at 200 W</t>
        </is>
      </c>
    </row>
    <row r="128">
      <c r="B128" s="8" t="inlineStr">
        <is>
          <t xml:space="preserve">Power Components</t>
        </is>
      </c>
      <c r="C128" s="8" t="inlineStr">
        <is>
          <t xml:space="preserve">D23</t>
        </is>
      </c>
      <c r="D128" s="8" t="inlineStr">
        <is>
          <t xml:space="preserve">160</t>
        </is>
      </c>
      <c r="E128" s="8" t="inlineStr">
        <is>
          <t xml:space="preserve">5</t>
        </is>
      </c>
      <c r="F128" s="8" t="inlineStr">
        <is>
          <t xml:space="preserve">n.Cout - as fitted on the bench board (5 x 6800 uF, 2026-10-12)</t>
        </is>
      </c>
    </row>
    <row r="129">
      <c r="B129" s="8" t="inlineStr">
        <is>
          <t xml:space="preserve">Power Components</t>
        </is>
      </c>
      <c r="C129" s="8" t="inlineStr">
        <is>
          <t xml:space="preserve">D24</t>
        </is>
      </c>
      <c r="D129" s="8" t="inlineStr">
        <is>
          <t xml:space="preserve">470</t>
        </is>
      </c>
      <c r="E129" s="8" t="inlineStr">
        <is>
          <t xml:space="preserve">6800</t>
        </is>
      </c>
      <c r="F129" s="8" t="inlineStr">
        <is>
          <t xml:space="preserve">Cout.single, uF - as fitted on the bench board (2026-10-12)</t>
        </is>
      </c>
    </row>
    <row r="131">
      <c r="F131" s="8" t="inlineStr">
        <is>
          <t xml:space="preserve">reviewed 200 W copy, 2026-10-14: controller values re-reviewed for the measured transformer at 200 W. f.Min has to stay about 1.5 x f.o or the valley circulating current (series resonance of L.r + L.m with C.r) saturates the small cores; PF needs f.Min near f.o. Only C.r moves f.o, so C.r 100 -&gt; 47 nF and the oscillator follows.</t>
        </is>
      </c>
    </row>
    <row r="132">
      <c r="B132" s="8" t="inlineStr">
        <is>
          <t xml:space="preserve">Res. Tank Design</t>
        </is>
      </c>
      <c r="C132" s="8" t="inlineStr">
        <is>
          <t xml:space="preserve">F43</t>
        </is>
      </c>
      <c r="D132" s="8" t="inlineStr">
        <is>
          <t xml:space="preserve">100</t>
        </is>
      </c>
      <c r="E132" s="8" t="inlineStr">
        <is>
          <t xml:space="preserve">47</t>
        </is>
      </c>
      <c r="F132" s="8" t="inlineStr">
        <is>
          <t xml:space="preserve">C.r, nF - f.o 132 kHz under the f.Min the bench needs</t>
        </is>
      </c>
    </row>
    <row r="133">
      <c r="B133" s="8" t="inlineStr">
        <is>
          <t xml:space="preserve">Device Setting</t>
        </is>
      </c>
      <c r="C133" s="8" t="inlineStr">
        <is>
          <t xml:space="preserve">D21</t>
        </is>
      </c>
      <c r="D133" s="8" t="inlineStr">
        <is>
          <t xml:space="preserve">470</t>
        </is>
      </c>
      <c r="E133" s="8" t="inlineStr">
        <is>
          <t xml:space="preserve">330</t>
        </is>
      </c>
      <c r="F133" s="8" t="inlineStr">
        <is>
          <t xml:space="preserve">C.T, pF - f.Max 444 kHz for 264 Vac HB (FHA 400-409 kHz); the oscillator formulas read D21, F21 only echoes it</t>
        </is>
      </c>
    </row>
    <row r="134">
      <c r="B134" s="8" t="inlineStr">
        <is>
          <t xml:space="preserve">Device Setting</t>
        </is>
      </c>
      <c r="C134" s="8" t="inlineStr">
        <is>
          <t xml:space="preserve">F21</t>
        </is>
      </c>
      <c r="D134" s="8" t="inlineStr">
        <is>
          <t xml:space="preserve">470</t>
        </is>
      </c>
      <c r="E134" s="8" t="inlineStr">
        <is>
          <t xml:space="preserve">330</t>
        </is>
      </c>
      <c r="F134" s="8" t="inlineStr">
        <is>
          <t xml:space="preserve">C.T, pF - echo of D21</t>
        </is>
      </c>
    </row>
    <row r="135">
      <c r="B135" s="8" t="inlineStr">
        <is>
          <t xml:space="preserve">Device Setting</t>
        </is>
      </c>
      <c r="C135" s="8" t="inlineStr">
        <is>
          <t xml:space="preserve">F91</t>
        </is>
      </c>
      <c r="D135" s="8" t="inlineStr">
        <is>
          <t xml:space="preserve">360</t>
        </is>
      </c>
      <c r="E135" s="8" t="inlineStr">
        <is>
          <t xml:space="preserve">270</t>
        </is>
      </c>
      <c r="F135" s="8" t="inlineStr">
        <is>
          <t xml:space="preserve">R.ZCD.H, kOhm - OVP1 35 V, OVP2 38 V, start-up end 20.7 V; 22 pF on ZCD</t>
        </is>
      </c>
    </row>
    <row r="136">
      <c r="B136" s="8" t="inlineStr">
        <is>
          <t xml:space="preserve">Device Setting</t>
        </is>
      </c>
      <c r="C136" s="8" t="inlineStr">
        <is>
          <t xml:space="preserve">F108</t>
        </is>
      </c>
      <c r="D136" s="8" t="inlineStr">
        <is>
          <t xml:space="preserve">13</t>
        </is>
      </c>
      <c r="E136" s="8" t="inlineStr">
        <is>
          <t xml:space="preserve">27</t>
        </is>
      </c>
      <c r="F136" s="8" t="inlineStr">
        <is>
          <t xml:space="preserve">R.CFG, kOhm - brownout 76 Vac, brown-in 83 Vac (production)</t>
        </is>
      </c>
    </row>
    <row r="137">
      <c r="B137" s="8" t="inlineStr">
        <is>
          <t xml:space="preserve">Device Setting</t>
        </is>
      </c>
      <c r="C137" s="8" t="inlineStr">
        <is>
          <t xml:space="preserve">F61</t>
        </is>
      </c>
      <c r="D137" s="8" t="inlineStr">
        <is>
          <t xml:space="preserve">16</t>
        </is>
      </c>
      <c r="E137" s="8" t="inlineStr">
        <is>
          <t xml:space="preserve">15</t>
        </is>
      </c>
      <c r="F137" s="8" t="inlineStr">
        <is>
          <t xml:space="preserve">R.BM, kOhm - burst entry 37 W input at R.CS 24 mOhm</t>
        </is>
      </c>
    </row>
    <row r="138">
      <c r="B138" s="8" t="inlineStr">
        <is>
          <t xml:space="preserve">CompensationNet&amp;Check</t>
        </is>
      </c>
      <c r="C138" s="8" t="inlineStr">
        <is>
          <t xml:space="preserve">F93</t>
        </is>
      </c>
      <c r="D138" s="8" t="inlineStr">
        <is>
          <t xml:space="preserve">82</t>
        </is>
      </c>
      <c r="E138" s="8" t="inlineStr">
        <is>
          <t xml:space="preserve">220</t>
        </is>
      </c>
      <c r="F138" s="8" t="inlineStr">
        <is>
          <t xml:space="preserve">C.Fo, nF - 34 mF output bank</t>
        </is>
      </c>
    </row>
    <row r="139">
      <c r="B139" s="8" t="inlineStr">
        <is>
          <t xml:space="preserve">CompensationNet&amp;Check</t>
        </is>
      </c>
      <c r="C139" s="8" t="inlineStr">
        <is>
          <t xml:space="preserve">F94</t>
        </is>
      </c>
      <c r="D139" s="8" t="inlineStr">
        <is>
          <t xml:space="preserve">560</t>
        </is>
      </c>
      <c r="E139" s="8" t="inlineStr">
        <is>
          <t xml:space="preserve">2200</t>
        </is>
      </c>
      <c r="F139" s="8" t="inlineStr">
        <is>
          <t xml:space="preserve">C.F, nF - 34 mF output bank</t>
        </is>
      </c>
    </row>
    <row r="140">
      <c r="B140" s="8" t="inlineStr">
        <is>
          <t xml:space="preserve">CompensationNet&amp;Check</t>
        </is>
      </c>
      <c r="C140" s="8" t="inlineStr">
        <is>
          <t xml:space="preserve">F95</t>
        </is>
      </c>
      <c r="D140" s="8" t="inlineStr">
        <is>
          <t xml:space="preserve">47</t>
        </is>
      </c>
      <c r="E140" s="8" t="inlineStr">
        <is>
          <t xml:space="preserve">22</t>
        </is>
      </c>
      <c r="F140" s="8" t="inlineStr">
        <is>
          <t xml:space="preserve">R.F, kOhm - 34 mF output bank</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5" ht="16.5" customHeight="1">
      <c r="B27" s="1" t="s">
        <v>159</v>
      </c>
      <c r="C27" s="1" t="s">
        <v>160</v>
      </c>
      <c r="D27" s="2">
        <v>200</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6.773</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47</v>
      </c>
    </row>
    <row r="44" spans="2:6" ht="14.25" customHeight="1">
      <c r="B44" s="1" t="s">
        <v>318</v>
      </c>
      <c r="C44" s="1" t="s">
        <v>319</v>
      </c>
      <c r="D44" s="3">
        <f>1/(IF(F43,F43,D43)*(10^-12)*(2*PI()*'Design Spec'!D102*1000)^2)*1000</f>
        <v>11.257909293593086</v>
      </c>
      <c r="E44" s="1" t="s">
        <v>320</v>
      </c>
      <c r="F44" s="2">
        <v>5.7</v>
      </c>
    </row>
    <row r="45" spans="2:6" ht="14.25" customHeight="1">
      <c r="B45" s="1" t="s">
        <v>321</v>
      </c>
      <c r="C45" s="1" t="s">
        <v>322</v>
      </c>
      <c r="D45" s="3">
        <f>IF(F44,F44,D44)/D16</f>
        <v>8.8661373823173655</v>
      </c>
      <c r="E45" s="1" t="s">
        <v>320</v>
      </c>
      <c r="F45" s="2">
        <v>25.2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660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5</v>
      </c>
      <c r="E23" s="1" t="s">
        <v>181</v>
      </c>
    </row>
    <row r="24" spans="2:5" ht="14.25" customHeight="1">
      <c r="B24" s="1" t="s">
        <v>369</v>
      </c>
      <c r="C24" s="1" t="s">
        <v>370</v>
      </c>
      <c r="D24" s="2">
        <v>6800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330</v>
      </c>
      <c r="E21" s="1" t="s">
        <v>194</v>
      </c>
      <c r="F21" s="0">
        <v>330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9.1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6" ht="16.5" customHeight="1">
      <c r="B61" s="1" t="s">
        <v>509</v>
      </c>
      <c r="C61" s="1" t="s">
        <v>510</v>
      </c>
      <c r="D61" s="1">
        <f>16.7*(D57*D46*(10^-3))</f>
        <v>30.06</v>
      </c>
      <c r="E61" s="1" t="s">
        <v>452</v>
      </c>
      <c r="F61" s="2">
        <v>15</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270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27</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220</v>
      </c>
      <c r="G93" s="125"/>
    </row>
    <row r="94" spans="2:7" ht="14.25" customHeight="1">
      <c r="B94" s="1" t="s">
        <v>666</v>
      </c>
      <c r="C94" s="1" t="s">
        <v>667</v>
      </c>
      <c r="D94" s="49">
        <f>IF(F93,F93,D93)*((D85/D86)-1)</f>
        <v>525.49155297423772</v>
      </c>
      <c r="E94" s="1" t="s">
        <v>200</v>
      </c>
      <c r="F94" s="2">
        <v>2200</v>
      </c>
      <c r="G94" s="125"/>
    </row>
    <row r="95" spans="2:7" ht="14.25" customHeight="1">
      <c r="B95" s="1" t="s">
        <v>668</v>
      </c>
      <c r="C95" s="54" t="s">
        <v>669</v>
      </c>
      <c r="D95" s="55">
        <f>1/(2*PI()*(D86*IF(F94,F94,D94)*(10^-9)))/1000</f>
        <v>45.715337710116671</v>
      </c>
      <c r="E95" s="54" t="s">
        <v>452</v>
      </c>
      <c r="F95" s="2">
        <v>22</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