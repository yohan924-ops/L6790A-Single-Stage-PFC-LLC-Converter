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<sst xmlns="http://schemas.openxmlformats.org/spreadsheetml/2006/main" count="2127" uniqueCount="1232">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</sst>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6.8</t>
        </is>
      </c>
      <c r="F123" s="8" t="inlineStr">
        <is>
          <t xml:space="preserve">R.T, kOhm - as fitted on the bench board (2026-10-13): f.Min 145 kHz; 11 kOhm (f.Min 92 kHz) lost regulation after ~20 s at 110 Vac 200 W</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reviewed 200 W copy, 2026-10-14: controller values re-reviewed for the measured transformer at 200 W. f.Min has to stay about 1.5 x f.o or the valley circulating current (series resonance of L.r + L.m with C.r) saturates the small cores; PF needs f.Min near f.o. Only C.r moves f.o, so C.r 100 -&gt; 47 nF and the oscillator follows.</t>
        </is>
      </c>
    </row>
    <row r="132">
      <c r="B132" s="8" t="inlineStr">
        <is>
          <t xml:space="preserve">Res. Tank Design</t>
        </is>
      </c>
      <c r="C132" s="8" t="inlineStr">
        <is>
          <t xml:space="preserve">F43</t>
        </is>
      </c>
      <c r="D132" s="8" t="inlineStr">
        <is>
          <t xml:space="preserve">100</t>
        </is>
      </c>
      <c r="E132" s="8" t="inlineStr">
        <is>
          <t xml:space="preserve">47</t>
        </is>
      </c>
      <c r="F132" s="8" t="inlineStr">
        <is>
          <t xml:space="preserve">C.r, nF - f.o 132 kHz under the f.Min the bench needs</t>
        </is>
      </c>
    </row>
    <row r="133">
      <c r="B133" s="8" t="inlineStr">
        <is>
          <t xml:space="preserve">Device Setting</t>
        </is>
      </c>
      <c r="C133" s="8" t="inlineStr">
        <is>
          <t xml:space="preserve">D21</t>
        </is>
      </c>
      <c r="D133" s="8" t="inlineStr">
        <is>
          <t xml:space="preserve">470</t>
        </is>
      </c>
      <c r="E133" s="8" t="inlineStr">
        <is>
          <t xml:space="preserve">330</t>
        </is>
      </c>
      <c r="F133" s="8" t="inlineStr">
        <is>
          <t xml:space="preserve">C.T, pF - f.Max 444 kHz for 264 Vac HB (FHA 400-409 kHz); the oscillator formulas read D21, F21 only echoes it</t>
        </is>
      </c>
    </row>
    <row r="134">
      <c r="B134" s="8" t="inlineStr">
        <is>
          <t xml:space="preserve">Device Setting</t>
        </is>
      </c>
      <c r="C134" s="8" t="inlineStr">
        <is>
          <t xml:space="preserve">F21</t>
        </is>
      </c>
      <c r="D134" s="8" t="inlineStr">
        <is>
          <t xml:space="preserve">470</t>
        </is>
      </c>
      <c r="E134" s="8" t="inlineStr">
        <is>
          <t xml:space="preserve">330</t>
        </is>
      </c>
      <c r="F134" s="8" t="inlineStr">
        <is>
          <t xml:space="preserve">C.T, pF - echo of D21</t>
        </is>
      </c>
    </row>
    <row r="135">
      <c r="B135" s="8" t="inlineStr">
        <is>
          <t xml:space="preserve">Device Setting</t>
        </is>
      </c>
      <c r="C135" s="8" t="inlineStr">
        <is>
          <t xml:space="preserve">F24</t>
        </is>
      </c>
      <c r="D135" s="8" t="inlineStr">
        <is>
          <t xml:space="preserve">6.8</t>
        </is>
      </c>
      <c r="E135" s="8" t="inlineStr">
        <is>
          <t xml:space="preserve">9.1</t>
        </is>
      </c>
      <c r="F135" s="8" t="inlineStr">
        <is>
          <t xml:space="preserve">R.T, kOhm - f.Min 154 kHz = 1.16 x f.o</t>
        </is>
      </c>
    </row>
    <row r="136">
      <c r="B136" s="8" t="inlineStr">
        <is>
          <t xml:space="preserve">Device Setting</t>
        </is>
      </c>
      <c r="C136" s="8" t="inlineStr">
        <is>
          <t xml:space="preserve">F91</t>
        </is>
      </c>
      <c r="D136" s="8" t="inlineStr">
        <is>
          <t xml:space="preserve">360</t>
        </is>
      </c>
      <c r="E136" s="8" t="inlineStr">
        <is>
          <t xml:space="preserve">270</t>
        </is>
      </c>
      <c r="F136" s="8" t="inlineStr">
        <is>
          <t xml:space="preserve">R.ZCD.H, kOhm - OVP1 35 V, OVP2 38 V, start-up end 20.7 V; 22 pF on ZCD</t>
        </is>
      </c>
    </row>
    <row r="137">
      <c r="B137" s="8" t="inlineStr">
        <is>
          <t xml:space="preserve">Device Setting</t>
        </is>
      </c>
      <c r="C137" s="8" t="inlineStr">
        <is>
          <t xml:space="preserve">F108</t>
        </is>
      </c>
      <c r="D137" s="8" t="inlineStr">
        <is>
          <t xml:space="preserve">13</t>
        </is>
      </c>
      <c r="E137" s="8" t="inlineStr">
        <is>
          <t xml:space="preserve">27</t>
        </is>
      </c>
      <c r="F137" s="8" t="inlineStr">
        <is>
          <t xml:space="preserve">R.CFG, kOhm - brownout 76 Vac, brown-in 83 Vac (production)</t>
        </is>
      </c>
    </row>
    <row r="138">
      <c r="B138" s="8" t="inlineStr">
        <is>
          <t xml:space="preserve">Device Setting</t>
        </is>
      </c>
      <c r="C138" s="8" t="inlineStr">
        <is>
          <t xml:space="preserve">F61</t>
        </is>
      </c>
      <c r="D138" s="8" t="inlineStr">
        <is>
          <t xml:space="preserve">16</t>
        </is>
      </c>
      <c r="E138" s="8" t="inlineStr">
        <is>
          <t xml:space="preserve">15</t>
        </is>
      </c>
      <c r="F138" s="8" t="inlineStr">
        <is>
          <t xml:space="preserve">R.BM, kOhm - burst entry 37 W input at R.CS 24 mOhm</t>
        </is>
      </c>
    </row>
    <row r="139">
      <c r="B139" s="8" t="inlineStr">
        <is>
          <t xml:space="preserve">CompensationNet&amp;Check</t>
        </is>
      </c>
      <c r="C139" s="8" t="inlineStr">
        <is>
          <t xml:space="preserve">F93</t>
        </is>
      </c>
      <c r="D139" s="8" t="inlineStr">
        <is>
          <t xml:space="preserve">82</t>
        </is>
      </c>
      <c r="E139" s="8" t="inlineStr">
        <is>
          <t xml:space="preserve">220</t>
        </is>
      </c>
      <c r="F139" s="8" t="inlineStr">
        <is>
          <t xml:space="preserve">C.Fo, nF - 34 mF output bank</t>
        </is>
      </c>
    </row>
    <row r="140">
      <c r="B140" s="8" t="inlineStr">
        <is>
          <t xml:space="preserve">CompensationNet&amp;Check</t>
        </is>
      </c>
      <c r="C140" s="8" t="inlineStr">
        <is>
          <t xml:space="preserve">F94</t>
        </is>
      </c>
      <c r="D140" s="8" t="inlineStr">
        <is>
          <t xml:space="preserve">560</t>
        </is>
      </c>
      <c r="E140" s="8" t="inlineStr">
        <is>
          <t xml:space="preserve">2200</t>
        </is>
      </c>
      <c r="F140" s="8" t="inlineStr">
        <is>
          <t xml:space="preserve">C.F, nF - 34 mF output bank</t>
        </is>
      </c>
    </row>
    <row r="141">
      <c r="B141" s="8" t="inlineStr">
        <is>
          <t xml:space="preserve">CompensationNet&amp;Check</t>
        </is>
      </c>
      <c r="C141" s="8" t="inlineStr">
        <is>
          <t xml:space="preserve">F95</t>
        </is>
      </c>
      <c r="D141" s="8" t="inlineStr">
        <is>
          <t xml:space="preserve">47</t>
        </is>
      </c>
      <c r="E141" s="8" t="inlineStr">
        <is>
          <t xml:space="preserve">22</t>
        </is>
      </c>
      <c r="F141" s="8" t="inlineStr">
        <is>
          <t xml:space="preserve">R.F, kOhm - 34 mF output bank</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47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330</v>
      </c>
      <c r="E21" s="1" t="s">
        <v>194</v>
      </c>
      <c r="F21" s="0">
        <v>330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15</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270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27</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2200</v>
      </c>
      <c r="G94" s="125"/>
    </row>
    <row r="95" spans="2:7" ht="14.25" customHeight="1">
      <c r="B95" s="1" t="s">
        <v>668</v>
      </c>
      <c r="C95" s="54" t="s">
        <v>669</v>
      </c>
      <c r="D95" s="55">
        <f>1/(2*PI()*(D86*IF(F94,F94,D94)*(10^-9)))/1000</f>
        <v>45.715337710116671</v>
      </c>
      <c r="E95" s="54" t="s">
        <v>452</v>
      </c>
      <c r="F95" s="2">
        <v>22</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