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<sst xmlns="http://schemas.openxmlformats.org/spreadsheetml/2006/main" count="2127" uniqueCount="1232">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</sst>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measured 200 W copy, 2026-10-09 (user): the vendor-wound 5:2 transformers measure 10.3 uH open and 1.9/2.0/1.8 uH leakage (secondaries shorted) per unit, about half the 3.67 uH the tank was designed for. Tank re-checked for a 200 W test; stay out of 150-180 Vac, where the full-bridge line peak needs more than f.Max.</t>
        </is>
      </c>
    </row>
    <row r="119">
      <c r="B119" s="8" t="inlineStr">
        <is>
          <t xml:space="preserve">Design Spec</t>
        </is>
      </c>
      <c r="C119" s="8" t="inlineStr">
        <is>
          <t xml:space="preserve">D27</t>
        </is>
      </c>
      <c r="D119" s="8" t="inlineStr">
        <is>
          <t xml:space="preserve">657.5</t>
        </is>
      </c>
      <c r="E119" s="8" t="inlineStr">
        <is>
          <t xml:space="preserve">200</t>
        </is>
      </c>
      <c r="F119" s="8" t="inlineStr">
        <is>
          <t xml:space="preserve">Pout, W - 200 W bench test</t>
        </is>
      </c>
    </row>
    <row r="120">
      <c r="B120" s="8" t="inlineStr">
        <is>
          <t xml:space="preserve">Res. Tank Design</t>
        </is>
      </c>
      <c r="C120" s="8" t="inlineStr">
        <is>
          <t xml:space="preserve">F9</t>
        </is>
      </c>
      <c r="D120" s="8" t="inlineStr">
        <is>
          <t xml:space="preserve">6.0241</t>
        </is>
      </c>
      <c r="E120" s="8" t="inlineStr">
        <is>
          <t xml:space="preserve">6.773</t>
        </is>
      </c>
      <c r="F120" s="8" t="inlineStr">
        <is>
          <t xml:space="preserve">n effective = 7.5/sqrt(1 + L.r/L.m), measured lambda 0.226</t>
        </is>
      </c>
    </row>
    <row r="121">
      <c r="B121" s="8" t="inlineStr">
        <is>
          <t xml:space="preserve">Res. Tank Design</t>
        </is>
      </c>
      <c r="C121" s="8" t="inlineStr">
        <is>
          <t xml:space="preserve">F44</t>
        </is>
      </c>
      <c r="D121" s="8" t="inlineStr">
        <is>
          <t xml:space="preserve">11</t>
        </is>
      </c>
      <c r="E121" s="8" t="inlineStr">
        <is>
          <t xml:space="preserve">5.7</t>
        </is>
      </c>
      <c r="F121" s="8" t="inlineStr">
        <is>
          <t xml:space="preserve">L.r, uH - measured 1.9+2.0+1.8</t>
        </is>
      </c>
    </row>
    <row r="122">
      <c r="B122" s="8" t="inlineStr">
        <is>
          <t xml:space="preserve">Res. Tank Design</t>
        </is>
      </c>
      <c r="C122" s="8" t="inlineStr">
        <is>
          <t xml:space="preserve">F45</t>
        </is>
      </c>
      <c r="D122" s="8" t="inlineStr">
        <is>
          <t xml:space="preserve">20</t>
        </is>
      </c>
      <c r="E122" s="8" t="inlineStr">
        <is>
          <t xml:space="preserve">25.2</t>
        </is>
      </c>
      <c r="F122" s="8" t="inlineStr">
        <is>
          <t xml:space="preserve">L.m, uH - 3 x 10.3 measured open minus L.r</t>
        </is>
      </c>
    </row>
    <row r="123">
      <c r="B123" s="8" t="inlineStr">
        <is>
          <t xml:space="preserve">Device Setting</t>
        </is>
      </c>
      <c r="C123" s="8" t="inlineStr">
        <is>
          <t xml:space="preserve">F61</t>
        </is>
      </c>
      <c r="D123" s="8" t="inlineStr">
        <is>
          <t xml:space="preserve">30</t>
        </is>
      </c>
      <c r="E123" s="8" t="inlineStr">
        <is>
          <t xml:space="preserve">16</t>
        </is>
      </c>
      <c r="F123" s="8" t="inlineStr">
        <is>
          <t xml:space="preserve">R.BM, kOhm - as fitted on the bench board (2026-10-11)</t>
        </is>
      </c>
    </row>
    <row r="124">
      <c r="B124" s="8" t="inlineStr">
        <is>
          <t xml:space="preserve">Device Setting</t>
        </is>
      </c>
      <c r="C124" s="8" t="inlineStr">
        <is>
          <t xml:space="preserve">F91</t>
        </is>
      </c>
      <c r="D124" s="8" t="inlineStr">
        <is>
          <t xml:space="preserve">220</t>
        </is>
      </c>
      <c r="E124" s="8" t="inlineStr">
        <is>
          <t xml:space="preserve">360</t>
        </is>
      </c>
      <c r="F124" s="8" t="inlineStr">
        <is>
          <t xml:space="preserve">R.ZCD.H, kOhm - as fitted on the bench board (2026-10-11)</t>
        </is>
      </c>
    </row>
    <row r="125">
      <c r="B125" s="8" t="inlineStr">
        <is>
          <t xml:space="preserve">Device Setting</t>
        </is>
      </c>
      <c r="C125" s="8" t="inlineStr">
        <is>
          <t xml:space="preserve">F108</t>
        </is>
      </c>
      <c r="D125" s="8" t="inlineStr">
        <is>
          <t xml:space="preserve">30</t>
        </is>
      </c>
      <c r="E125" s="8" t="inlineStr">
        <is>
          <t xml:space="preserve">13</t>
        </is>
      </c>
      <c r="F125" s="8" t="inlineStr">
        <is>
          <t xml:space="preserve">R.CFG, kOhm - as fitted on the bench board (2026-10-11); below the 15 kOhm of DS Table 6</t>
        </is>
      </c>
    </row>
    <row r="126">
      <c r="B126" s="8" t="inlineStr">
        <is>
          <t xml:space="preserve">Power Components</t>
        </is>
      </c>
      <c r="C126" s="8" t="inlineStr">
        <is>
          <t xml:space="preserve">F7</t>
        </is>
      </c>
      <c r="D126" s="8" t="inlineStr">
        <is>
          <t xml:space="preserve">2200</t>
        </is>
      </c>
      <c r="E126" s="8" t="inlineStr">
        <is>
          <t xml:space="preserve">660</t>
        </is>
      </c>
      <c r="F126" s="8" t="inlineStr">
        <is>
          <t xml:space="preserve">C.in, nF - as fitted on the bench board (2 x 330 nF, 2026-10-12); C.in.min = 3 nF/W x P.in = 617 nF at 200 W</t>
        </is>
      </c>
    </row>
    <row r="127">
      <c r="B127" s="8" t="inlineStr">
        <is>
          <t xml:space="preserve">Power Components</t>
        </is>
      </c>
      <c r="C127" s="8" t="inlineStr">
        <is>
          <t xml:space="preserve">D23</t>
        </is>
      </c>
      <c r="D127" s="8" t="inlineStr">
        <is>
          <t xml:space="preserve">160</t>
        </is>
      </c>
      <c r="E127" s="8" t="inlineStr">
        <is>
          <t xml:space="preserve">5</t>
        </is>
      </c>
      <c r="F127" s="8" t="inlineStr">
        <is>
          <t xml:space="preserve">n.Cout - as fitted on the bench board (5 x 6800 uF, 2026-10-12)</t>
        </is>
      </c>
    </row>
    <row r="128">
      <c r="B128" s="8" t="inlineStr">
        <is>
          <t xml:space="preserve">Power Components</t>
        </is>
      </c>
      <c r="C128" s="8" t="inlineStr">
        <is>
          <t xml:space="preserve">D24</t>
        </is>
      </c>
      <c r="D128" s="8" t="inlineStr">
        <is>
          <t xml:space="preserve">470</t>
        </is>
      </c>
      <c r="E128" s="8" t="inlineStr">
        <is>
          <t xml:space="preserve">6800</t>
        </is>
      </c>
      <c r="F128" s="8" t="inlineStr">
        <is>
          <t xml:space="preserve">Cout.single, uF - as fitted on the bench board (2026-10-12)</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5" ht="16.5" customHeight="1">
      <c r="B27" s="1" t="s">
        <v>159</v>
      </c>
      <c r="C27" s="1" t="s">
        <v>160</v>
      </c>
      <c r="D27" s="2">
        <v>200</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6.773</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100</v>
      </c>
    </row>
    <row r="44" spans="2:6" ht="14.25" customHeight="1">
      <c r="B44" s="1" t="s">
        <v>318</v>
      </c>
      <c r="C44" s="1" t="s">
        <v>319</v>
      </c>
      <c r="D44" s="3">
        <f>1/(IF(F43,F43,D43)*(10^-12)*(2*PI()*'Design Spec'!D102*1000)^2)*1000</f>
        <v>11.257909293593086</v>
      </c>
      <c r="E44" s="1" t="s">
        <v>320</v>
      </c>
      <c r="F44" s="2">
        <v>5.7</v>
      </c>
    </row>
    <row r="45" spans="2:6" ht="14.25" customHeight="1">
      <c r="B45" s="1" t="s">
        <v>321</v>
      </c>
      <c r="C45" s="1" t="s">
        <v>322</v>
      </c>
      <c r="D45" s="3">
        <f>IF(F44,F44,D44)/D16</f>
        <v>8.8661373823173655</v>
      </c>
      <c r="E45" s="1" t="s">
        <v>320</v>
      </c>
      <c r="F45" s="2">
        <v>25.2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660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5</v>
      </c>
      <c r="E23" s="1" t="s">
        <v>181</v>
      </c>
    </row>
    <row r="24" spans="2:5" ht="14.25" customHeight="1">
      <c r="B24" s="1" t="s">
        <v>369</v>
      </c>
      <c r="C24" s="1" t="s">
        <v>370</v>
      </c>
      <c r="D24" s="2">
        <v>6800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11</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6" ht="16.5" customHeight="1">
      <c r="B61" s="1" t="s">
        <v>509</v>
      </c>
      <c r="C61" s="1" t="s">
        <v>510</v>
      </c>
      <c r="D61" s="1">
        <f>16.7*(D57*D46*(10^-3))</f>
        <v>30.06</v>
      </c>
      <c r="E61" s="1" t="s">
        <v>452</v>
      </c>
      <c r="F61" s="2">
        <v>16</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360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13</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