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<sst xmlns="http://schemas.openxmlformats.org/spreadsheetml/2006/main" count="2127" uniqueCount="1232">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</sst>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3028.98</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79"/>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6.0134</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180</v>
      </c>
    </row>
    <row r="44" spans="2:6" ht="14.25" customHeight="1">
      <c r="B44" s="1" t="s">
        <v>318</v>
      </c>
      <c r="C44" s="1" t="s">
        <v>319</v>
      </c>
      <c r="D44" s="3">
        <f>1/(IF(F43,F43,D43)*(10^-12)*(2*PI()*'Design Spec'!D102*1000)^2)*1000</f>
        <v>11.257909293593086</v>
      </c>
      <c r="E44" s="1" t="s">
        <v>320</v>
      </c>
      <c r="F44" s="2">
        <v>25</v>
      </c>
    </row>
    <row r="45" spans="2:6" ht="14.25" customHeight="1">
      <c r="B45" s="1" t="s">
        <v>321</v>
      </c>
      <c r="C45" s="1" t="s">
        <v>322</v>
      </c>
      <c r="D45" s="3">
        <f>IF(F44,F44,D44)/D16</f>
        <v>8.8661373823173655</v>
      </c>
      <c r="E45" s="1" t="s">
        <v>320</v>
      </c>
      <c r="F45" s="2">
        <v>45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inlineStr">
        <is>
          <t xml:space="preserve">STL160N10F8</t>
        </is>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5" ht="15" customHeight="1">
      <c r="B96" s="1" t="s">
        <v>1219</v>
      </c>
      <c r="C96" s="1" t="s">
        <v>433</v>
      </c>
      <c r="D96" s="2">
        <v>0.0032</v>
      </c>
      <c r="E96" s="26" t="s">
        <v>175</v>
      </c>
    </row>
    <row r="97" spans="2:5" ht="15" customHeight="1">
      <c r="B97" s="1" t="s">
        <v>423</v>
      </c>
      <c r="C97" s="1" t="s">
        <v>424</v>
      </c>
      <c r="D97" s="2">
        <v>25</v>
      </c>
      <c r="E97" s="26" t="s">
        <v>425</v>
      </c>
    </row>
    <row r="98" spans="2:5" ht="15">
      <c r="B98" s="1" t="s">
        <v>1217</v>
      </c>
      <c r="C98" s="1" t="s">
        <v>1098</v>
      </c>
      <c r="D98" s="2">
        <v>1.5</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21.5</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12.05085</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74"/>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