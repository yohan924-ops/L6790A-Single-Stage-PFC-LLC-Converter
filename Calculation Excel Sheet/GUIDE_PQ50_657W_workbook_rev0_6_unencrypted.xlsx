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<sst xmlns="http://schemas.openxmlformats.org/spreadsheetml/2006/main" count="2127" uniqueCount="1232">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</sst>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Device Setting rows 116-141, composite peak over the load range - ADDED 2026-10-18 (user): the composite tank peak [79] of D32 repeated at 0 / 25 / 50 / 75 / 100 % load at the line peak of Vin.min, the frequency re-solved at each load with the closed-form cubic of the SMath sheet (section 8; section 9b holds the same table). Shows whether the load current adds to the magnetizing peak (r.mix &lt; 1) or the peak is the magnetizing current alone, the OCP1 margin at each load, and the magnetizing floor at the line zero crossing. All live formulas on the book's inputs; no cell above is changed.</t>
        </is>
      </c>
    </row>
    <row r="149">
      <c r="B149" s="8" t="inlineStr">
        <is>
          <t xml:space="preserve">Device Setting</t>
        </is>
      </c>
      <c r="C149" s="8" t="inlineStr">
        <is>
          <t xml:space="preserve">D136:H136</t>
        </is>
      </c>
      <c r="D149" s="8" t="inlineStr">
        <is>
          <t xml:space="preserve"/>
        </is>
      </c>
      <c r="E149" s="8" t="inlineStr">
        <is>
          <t xml:space="preserve">composite peak per load column</t>
        </is>
      </c>
      <c r="F149" s="8" t="inlineStr">
        <is>
          <t xml:space="preserve">I.Lr.pk</t>
        </is>
      </c>
    </row>
    <row r="150">
      <c r="B150" s="8" t="inlineStr">
        <is>
          <t xml:space="preserve">Device Setting</t>
        </is>
      </c>
      <c r="C150" s="8" t="inlineStr">
        <is>
          <t xml:space="preserve">D140</t>
        </is>
      </c>
      <c r="D150" s="8" t="inlineStr">
        <is>
          <t xml:space="preserve"/>
        </is>
      </c>
      <c r="E150" s="8" t="inlineStr">
        <is>
          <t xml:space="preserve">magnetizing peak at f.Min</t>
        </is>
      </c>
      <c r="F150" s="8" t="inlineStr">
        <is>
          <t xml:space="preserve">I.lm.zc</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3028.98</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6.0134</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180</v>
      </c>
    </row>
    <row r="44" spans="2:6" ht="14.25" customHeight="1">
      <c r="B44" s="1" t="s">
        <v>318</v>
      </c>
      <c r="C44" s="1" t="s">
        <v>319</v>
      </c>
      <c r="D44" s="3">
        <f>1/(IF(F43,F43,D43)*(10^-12)*(2*PI()*'Design Spec'!D102*1000)^2)*1000</f>
        <v>11.257909293593086</v>
      </c>
      <c r="E44" s="1" t="s">
        <v>320</v>
      </c>
      <c r="F44" s="2">
        <v>25</v>
      </c>
    </row>
    <row r="45" spans="2:6" ht="14.25" customHeight="1">
      <c r="B45" s="1" t="s">
        <v>321</v>
      </c>
      <c r="C45" s="1" t="s">
        <v>322</v>
      </c>
      <c r="D45" s="3">
        <f>IF(F44,F44,D44)/D16</f>
        <v>8.8661373823173655</v>
      </c>
      <c r="E45" s="1" t="s">
        <v>320</v>
      </c>
      <c r="F45" s="2">
        <v>45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inlineStr">
        <is>
          <t xml:space="preserve">STL160N10F8</t>
        </is>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5" ht="15" customHeight="1">
      <c r="B96" s="1" t="s">
        <v>1219</v>
      </c>
      <c r="C96" s="1" t="s">
        <v>433</v>
      </c>
      <c r="D96" s="2">
        <v>0.0032</v>
      </c>
      <c r="E96" s="26" t="s">
        <v>175</v>
      </c>
    </row>
    <row r="97" spans="2:5" ht="15" customHeight="1">
      <c r="B97" s="1" t="s">
        <v>423</v>
      </c>
      <c r="C97" s="1" t="s">
        <v>424</v>
      </c>
      <c r="D97" s="2">
        <v>25</v>
      </c>
      <c r="E97" s="26" t="s">
        <v>425</v>
      </c>
    </row>
    <row r="98" spans="2:5" ht="15">
      <c r="B98" s="1" t="s">
        <v>1217</v>
      </c>
      <c r="C98" s="1" t="s">
        <v>1098</v>
      </c>
      <c r="D98" s="2">
        <v>1.5</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21.5</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9" t="inlineStr">
        <is>
          <t xml:space="preserve">Composite tank-current peak over the load range - does the load current add to the magnetizing peak?  [79], SMath sheet 9b - ADDED 2026-10-18</t>
        </is>
      </c>
      <c r="E116" s="15"/>
      <c r="I116" s="14"/>
      <c r="O116" s="15"/>
    </row>
    <row r="117" spans="2:15" ht="16.5" customHeight="1">
      <c r="B117" s="85" t="inlineStr">
        <is>
          <t xml:space="preserve">Load fraction at the line peak of Vin.min  [sheet 9b - ADDED 2026-10-18]</t>
        </is>
      </c>
      <c r="C117" s="85" t="inlineStr">
        <is>
          <t xml:space="preserve">ld</t>
        </is>
      </c>
      <c r="D117" s="86">
        <v>0</v>
      </c>
      <c r="E117" s="86">
        <v>0.25</v>
      </c>
      <c r="F117" s="86">
        <v>0.5</v>
      </c>
      <c r="G117" s="86">
        <v>0.75</v>
      </c>
      <c r="H117" s="86">
        <v>1</v>
      </c>
      <c r="I117" s="85" t="inlineStr">
        <is>
          <t xml:space="preserve">-</t>
        </is>
      </c>
      <c r="O117" s="15"/>
    </row>
    <row r="118" spans="2:15" ht="16.5" customHeight="1">
      <c r="B118" s="85" t="inlineStr">
        <is>
          <t xml:space="preserve">Quality factor at that load (Q.pk x ld)</t>
        </is>
      </c>
      <c r="C118" s="85" t="inlineStr">
        <is>
          <t xml:space="preserve">Q</t>
        </is>
      </c>
      <c r="D118" s="86">
        <f>('Res. Tank Design'!$D$52/'Res. Tank Design'!$D$17)*D117</f>
      </c>
      <c r="E118" s="86">
        <f>('Res. Tank Design'!$D$52/'Res. Tank Design'!$D$17)*E117</f>
      </c>
      <c r="F118" s="86">
        <f>('Res. Tank Design'!$D$52/'Res. Tank Design'!$D$17)*F117</f>
      </c>
      <c r="G118" s="86">
        <f>('Res. Tank Design'!$D$52/'Res. Tank Design'!$D$17)*G117</f>
      </c>
      <c r="H118" s="86">
        <f>('Res. Tank Design'!$D$52/'Res. Tank Design'!$D$17)*H117</f>
      </c>
      <c r="I118" s="85" t="inlineStr">
        <is>
          <t xml:space="preserve">-</t>
        </is>
      </c>
      <c r="J118" s="17"/>
      <c r="K118" s="17"/>
      <c r="L118" s="17"/>
      <c r="M118" s="17"/>
      <c r="N118" s="17"/>
      <c r="O118" s="18"/>
    </row>
    <row r="119" spans="2:9" ht="16.5" customHeight="1">
      <c r="B119" s="85" t="inlineStr">
        <is>
          <t xml:space="preserve">q = Q^2  (cubic of sheet section 8)</t>
        </is>
      </c>
      <c r="C119" s="85" t="inlineStr">
        <is>
          <t xml:space="preserve">q</t>
        </is>
      </c>
      <c r="D119" s="86">
        <f>D118^2</f>
      </c>
      <c r="E119" s="86">
        <f>E118^2</f>
      </c>
      <c r="F119" s="86">
        <f>F118^2</f>
      </c>
      <c r="G119" s="86">
        <f>G118^2</f>
      </c>
      <c r="H119" s="86">
        <f>H118^2</f>
      </c>
      <c r="I119" s="85" t="inlineStr">
        <is>
          <t xml:space="preserve">-</t>
        </is>
      </c>
    </row>
    <row r="120" spans="2:9" ht="16.5" customHeight="1">
      <c r="B120" s="85" t="inlineStr">
        <is>
          <t xml:space="preserve">a2</t>
        </is>
      </c>
      <c r="C120" s="85" t="inlineStr">
        <is>
          <t xml:space="preserve">a2</t>
        </is>
      </c>
      <c r="D120" s="86">
        <f>(D119-2*'Res. Tank Design'!$D$50*(1+'Res. Tank Design'!$D$50))/'Res. Tank Design'!$D$50^2</f>
      </c>
      <c r="E120" s="86">
        <f>(E119-2*'Res. Tank Design'!$D$50*(1+'Res. Tank Design'!$D$50))/'Res. Tank Design'!$D$50^2</f>
      </c>
      <c r="F120" s="86">
        <f>(F119-2*'Res. Tank Design'!$D$50*(1+'Res. Tank Design'!$D$50))/'Res. Tank Design'!$D$50^2</f>
      </c>
      <c r="G120" s="86">
        <f>(G119-2*'Res. Tank Design'!$D$50*(1+'Res. Tank Design'!$D$50))/'Res. Tank Design'!$D$50^2</f>
      </c>
      <c r="H120" s="86">
        <f>(H119-2*'Res. Tank Design'!$D$50*(1+'Res. Tank Design'!$D$50))/'Res. Tank Design'!$D$50^2</f>
      </c>
      <c r="I120" s="85" t="inlineStr">
        <is>
          <t xml:space="preserve">-</t>
        </is>
      </c>
    </row>
    <row r="121" spans="2:9" ht="16.5" customHeight="1">
      <c r="B121" s="85" t="inlineStr">
        <is>
          <t xml:space="preserve">a1  (with 1/M.pk^2 of Res. Tank Design D10)</t>
        </is>
      </c>
      <c r="C121" s="85" t="inlineStr">
        <is>
          <t xml:space="preserve">a1</t>
        </is>
      </c>
      <c r="D121" s="86">
        <f>((1+'Res. Tank Design'!$D$50)^2-2*D119-1/'Res. Tank Design'!$D$10^2)/'Res. Tank Design'!$D$50^2</f>
      </c>
      <c r="E121" s="86">
        <f>((1+'Res. Tank Design'!$D$50)^2-2*E119-1/'Res. Tank Design'!$D$10^2)/'Res. Tank Design'!$D$50^2</f>
      </c>
      <c r="F121" s="86">
        <f>((1+'Res. Tank Design'!$D$50)^2-2*F119-1/'Res. Tank Design'!$D$10^2)/'Res. Tank Design'!$D$50^2</f>
      </c>
      <c r="G121" s="86">
        <f>((1+'Res. Tank Design'!$D$50)^2-2*G119-1/'Res. Tank Design'!$D$10^2)/'Res. Tank Design'!$D$50^2</f>
      </c>
      <c r="H121" s="86">
        <f>((1+'Res. Tank Design'!$D$50)^2-2*H119-1/'Res. Tank Design'!$D$10^2)/'Res. Tank Design'!$D$50^2</f>
      </c>
      <c r="I121" s="85" t="inlineStr">
        <is>
          <t xml:space="preserve">-</t>
        </is>
      </c>
    </row>
    <row r="122" spans="2:9" ht="16.5" customHeight="1">
      <c r="B122" s="85" t="inlineStr">
        <is>
          <t xml:space="preserve">a0</t>
        </is>
      </c>
      <c r="C122" s="85" t="inlineStr">
        <is>
          <t xml:space="preserve">a0</t>
        </is>
      </c>
      <c r="D122" s="86">
        <f>D119/'Res. Tank Design'!$D$50^2</f>
      </c>
      <c r="E122" s="86">
        <f>E119/'Res. Tank Design'!$D$50^2</f>
      </c>
      <c r="F122" s="86">
        <f>F119/'Res. Tank Design'!$D$50^2</f>
      </c>
      <c r="G122" s="86">
        <f>G119/'Res. Tank Design'!$D$50^2</f>
      </c>
      <c r="H122" s="86">
        <f>H119/'Res. Tank Design'!$D$50^2</f>
      </c>
      <c r="I122" s="85" t="inlineStr">
        <is>
          <t xml:space="preserve">-</t>
        </is>
      </c>
    </row>
    <row r="123" spans="2:9" ht="16.5" customHeight="1">
      <c r="B123" s="85" t="inlineStr">
        <is>
          <t xml:space="preserve">p = a1 - a2^2/3</t>
        </is>
      </c>
      <c r="C123" s="85" t="inlineStr">
        <is>
          <t xml:space="preserve">p</t>
        </is>
      </c>
      <c r="D123" s="86">
        <f>D121-D120^2/3</f>
      </c>
      <c r="E123" s="86">
        <f>E121-E120^2/3</f>
      </c>
      <c r="F123" s="86">
        <f>F121-F120^2/3</f>
      </c>
      <c r="G123" s="86">
        <f>G121-G120^2/3</f>
      </c>
      <c r="H123" s="86">
        <f>H121-H120^2/3</f>
      </c>
      <c r="I123" s="85" t="inlineStr">
        <is>
          <t xml:space="preserve">-</t>
        </is>
      </c>
    </row>
    <row r="124" spans="2:9" ht="16.5" customHeight="1">
      <c r="B124" s="85" t="inlineStr">
        <is>
          <t xml:space="preserve">r</t>
        </is>
      </c>
      <c r="C124" s="85" t="inlineStr">
        <is>
          <t xml:space="preserve">r</t>
        </is>
      </c>
      <c r="D124" s="86">
        <f>2*D120^3/27-D120*D121/3+D122</f>
      </c>
      <c r="E124" s="86">
        <f>2*E120^3/27-E120*E121/3+E122</f>
      </c>
      <c r="F124" s="86">
        <f>2*F120^3/27-F120*F121/3+F122</f>
      </c>
      <c r="G124" s="86">
        <f>2*G120^3/27-G120*G121/3+G122</f>
      </c>
      <c r="H124" s="86">
        <f>2*H120^3/27-H120*H121/3+H122</f>
      </c>
      <c r="I124" s="85" t="inlineStr">
        <is>
          <t xml:space="preserve">-</t>
        </is>
      </c>
    </row>
    <row r="125" spans="2:9" ht="16.5" customHeight="1">
      <c r="B125" s="85" t="inlineStr">
        <is>
          <t xml:space="preserve">ang (middle root)</t>
        </is>
      </c>
      <c r="C125" s="85" t="inlineStr">
        <is>
          <t xml:space="preserve">ang</t>
        </is>
      </c>
      <c r="D125" s="86">
        <f>ACOS(3*D124/(2*D123)*SQRT(-3/D123))/3</f>
      </c>
      <c r="E125" s="86">
        <f>ACOS(3*E124/(2*E123)*SQRT(-3/E123))/3</f>
      </c>
      <c r="F125" s="86">
        <f>ACOS(3*F124/(2*F123)*SQRT(-3/F123))/3</f>
      </c>
      <c r="G125" s="86">
        <f>ACOS(3*G124/(2*G123)*SQRT(-3/G123))/3</f>
      </c>
      <c r="H125" s="86">
        <f>ACOS(3*H124/(2*H123)*SQRT(-3/H123))/3</f>
      </c>
      <c r="I125" s="85" t="inlineStr">
        <is>
          <t xml:space="preserve">rad</t>
        </is>
      </c>
    </row>
    <row r="126" spans="2:9" ht="16.5" customHeight="1">
      <c r="B126" s="85" t="inlineStr">
        <is>
          <t xml:space="preserve">x = 1/fn^2</t>
        </is>
      </c>
      <c r="C126" s="85" t="inlineStr">
        <is>
          <t xml:space="preserve">x</t>
        </is>
      </c>
      <c r="D126" s="86">
        <f>2*SQRT(-D123/3)*COS(D125-2*PI()/3)-D120/3</f>
      </c>
      <c r="E126" s="86">
        <f>2*SQRT(-E123/3)*COS(E125-2*PI()/3)-E120/3</f>
      </c>
      <c r="F126" s="86">
        <f>2*SQRT(-F123/3)*COS(F125-2*PI()/3)-F120/3</f>
      </c>
      <c r="G126" s="86">
        <f>2*SQRT(-G123/3)*COS(G125-2*PI()/3)-G120/3</f>
      </c>
      <c r="H126" s="86">
        <f>2*SQRT(-H123/3)*COS(H125-2*PI()/3)-H120/3</f>
      </c>
      <c r="I126" s="85" t="inlineStr">
        <is>
          <t xml:space="preserve">-</t>
        </is>
      </c>
    </row>
    <row r="127" spans="2:9" ht="16.5" customHeight="1">
      <c r="B127" s="85" t="inlineStr">
        <is>
          <t xml:space="preserve">Normalised frequency</t>
        </is>
      </c>
      <c r="C127" s="85" t="inlineStr">
        <is>
          <t xml:space="preserve">f.n</t>
        </is>
      </c>
      <c r="D127" s="86">
        <f>1/SQRT(D126)</f>
      </c>
      <c r="E127" s="86">
        <f>1/SQRT(E126)</f>
      </c>
      <c r="F127" s="86">
        <f>1/SQRT(F126)</f>
      </c>
      <c r="G127" s="86">
        <f>1/SQRT(G126)</f>
      </c>
      <c r="H127" s="86">
        <f>1/SQRT(H126)</f>
      </c>
      <c r="I127" s="85" t="inlineStr">
        <is>
          <t xml:space="preserve">-</t>
        </is>
      </c>
    </row>
    <row r="128" spans="2:9" ht="16.5" customHeight="1">
      <c r="B128" s="85" t="inlineStr">
        <is>
          <t xml:space="preserve">Switching frequency at the line peak</t>
        </is>
      </c>
      <c r="C128" s="85" t="inlineStr">
        <is>
          <t xml:space="preserve">f.sw</t>
        </is>
      </c>
      <c r="D128" s="86">
        <f>D127*'Res. Tank Design'!$D$55</f>
      </c>
      <c r="E128" s="86">
        <f>E127*'Res. Tank Design'!$D$55</f>
      </c>
      <c r="F128" s="86">
        <f>F127*'Res. Tank Design'!$D$55</f>
      </c>
      <c r="G128" s="86">
        <f>G127*'Res. Tank Design'!$D$55</f>
      </c>
      <c r="H128" s="86">
        <f>H127*'Res. Tank Design'!$D$55</f>
      </c>
      <c r="I128" s="85" t="inlineStr">
        <is>
          <t xml:space="preserve">kHz</t>
        </is>
      </c>
    </row>
    <row r="129" spans="2:9" ht="16.5" customHeight="1">
      <c r="B129" s="85" t="inlineStr">
        <is>
          <t xml:space="preserve">Frequency of the magnetizing ramp, max(f.sw, f.r)</t>
        </is>
      </c>
      <c r="C129" s="85" t="inlineStr">
        <is>
          <t xml:space="preserve">f.ss</t>
        </is>
      </c>
      <c r="D129" s="86">
        <f>MAX(D128,'Res. Tank Design'!$D$55)</f>
      </c>
      <c r="E129" s="86">
        <f>MAX(E128,'Res. Tank Design'!$D$55)</f>
      </c>
      <c r="F129" s="86">
        <f>MAX(F128,'Res. Tank Design'!$D$55)</f>
      </c>
      <c r="G129" s="86">
        <f>MAX(G128,'Res. Tank Design'!$D$55)</f>
      </c>
      <c r="H129" s="86">
        <f>MAX(H128,'Res. Tank Design'!$D$55)</f>
      </c>
      <c r="I129" s="85" t="inlineStr">
        <is>
          <t xml:space="preserve">kHz</t>
        </is>
      </c>
    </row>
    <row r="130" spans="2:9" ht="16.5" customHeight="1">
      <c r="B130" s="85" t="inlineStr">
        <is>
          <t xml:space="preserve">Instantaneous output current at the line peak</t>
        </is>
      </c>
      <c r="C130" s="85" t="inlineStr">
        <is>
          <t xml:space="preserve">I.out.inst</t>
        </is>
      </c>
      <c r="D130" s="86">
        <f>2*'Preliminary Calculation'!$D$7*D117</f>
      </c>
      <c r="E130" s="86">
        <f>2*'Preliminary Calculation'!$D$7*E117</f>
      </c>
      <c r="F130" s="86">
        <f>2*'Preliminary Calculation'!$D$7*F117</f>
      </c>
      <c r="G130" s="86">
        <f>2*'Preliminary Calculation'!$D$7*G117</f>
      </c>
      <c r="H130" s="86">
        <f>2*'Preliminary Calculation'!$D$7*H117</f>
      </c>
      <c r="I130" s="85" t="inlineStr">
        <is>
          <t xml:space="preserve">A</t>
        </is>
      </c>
    </row>
    <row r="131">
      <c r="B131" s="85" t="inlineStr">
        <is>
          <t xml:space="preserve">Secondary peak current</t>
        </is>
      </c>
      <c r="C131" s="85" t="inlineStr">
        <is>
          <t xml:space="preserve">I.sec.pk</t>
        </is>
      </c>
      <c r="D131" s="86">
        <f>PI()*('Res. Tank Design'!$D$55/D128)*D130/(1-COS(PI()*'Res. Tank Design'!$D$55/D129))</f>
      </c>
      <c r="E131" s="86">
        <f>PI()*('Res. Tank Design'!$D$55/E128)*E130/(1-COS(PI()*'Res. Tank Design'!$D$55/E129))</f>
      </c>
      <c r="F131" s="86">
        <f>PI()*('Res. Tank Design'!$D$55/F128)*F130/(1-COS(PI()*'Res. Tank Design'!$D$55/F129))</f>
      </c>
      <c r="G131" s="86">
        <f>PI()*('Res. Tank Design'!$D$55/G128)*G130/(1-COS(PI()*'Res. Tank Design'!$D$55/G129))</f>
      </c>
      <c r="H131" s="86">
        <f>PI()*('Res. Tank Design'!$D$55/H128)*H130/(1-COS(PI()*'Res. Tank Design'!$D$55/H129))</f>
      </c>
      <c r="I131" s="85" t="inlineStr">
        <is>
          <t xml:space="preserve">A</t>
        </is>
      </c>
    </row>
    <row r="132">
      <c r="B132" s="85" t="inlineStr">
        <is>
          <t xml:space="preserve">Reflected load current peak</t>
        </is>
      </c>
      <c r="C132" s="85" t="inlineStr">
        <is>
          <t xml:space="preserve">I.trafo.pk</t>
        </is>
      </c>
      <c r="D132" s="86">
        <f>D131/'Res. Tank Design'!$D$42</f>
      </c>
      <c r="E132" s="86">
        <f>E131/'Res. Tank Design'!$D$42</f>
      </c>
      <c r="F132" s="86">
        <f>F131/'Res. Tank Design'!$D$42</f>
      </c>
      <c r="G132" s="86">
        <f>G131/'Res. Tank Design'!$D$42</f>
      </c>
      <c r="H132" s="86">
        <f>H131/'Res. Tank Design'!$D$42</f>
      </c>
      <c r="I132" s="85" t="inlineStr">
        <is>
          <t xml:space="preserve">A</t>
        </is>
      </c>
    </row>
    <row r="133">
      <c r="B133" s="85" t="inlineStr">
        <is>
          <t xml:space="preserve">Magnetizing current peak (trapezoid below f.r)</t>
        </is>
      </c>
      <c r="C133" s="85" t="inlineStr">
        <is>
          <t xml:space="preserve">I.lm.pk</t>
        </is>
      </c>
      <c r="D133" s="86">
        <f>0.25*'Res. Tank Design'!$D$42*('Design Spec'!$D$95+'Design Spec'!$D$107*'Design Spec'!$D$106)/(IF('Res. Tank Design'!$F$45,'Res. Tank Design'!$F$45,'Res. Tank Design'!$D$45)*10^(-6)*D129*1000)</f>
      </c>
      <c r="E133" s="86">
        <f>0.25*'Res. Tank Design'!$D$42*('Design Spec'!$D$95+'Design Spec'!$D$107*'Design Spec'!$D$106)/(IF('Res. Tank Design'!$F$45,'Res. Tank Design'!$F$45,'Res. Tank Design'!$D$45)*10^(-6)*E129*1000)</f>
      </c>
      <c r="F133" s="86">
        <f>0.25*'Res. Tank Design'!$D$42*('Design Spec'!$D$95+'Design Spec'!$D$107*'Design Spec'!$D$106)/(IF('Res. Tank Design'!$F$45,'Res. Tank Design'!$F$45,'Res. Tank Design'!$D$45)*10^(-6)*F129*1000)</f>
      </c>
      <c r="G133" s="86">
        <f>0.25*'Res. Tank Design'!$D$42*('Design Spec'!$D$95+'Design Spec'!$D$107*'Design Spec'!$D$106)/(IF('Res. Tank Design'!$F$45,'Res. Tank Design'!$F$45,'Res. Tank Design'!$D$45)*10^(-6)*G129*1000)</f>
      </c>
      <c r="H133" s="86">
        <f>0.25*'Res. Tank Design'!$D$42*('Design Spec'!$D$95+'Design Spec'!$D$107*'Design Spec'!$D$106)/(IF('Res. Tank Design'!$F$45,'Res. Tank Design'!$F$45,'Res. Tank Design'!$D$45)*10^(-6)*H129*1000)</f>
      </c>
      <c r="I133" s="85" t="inlineStr">
        <is>
          <t xml:space="preserve">A</t>
        </is>
      </c>
    </row>
    <row r="134">
      <c r="B134" s="85" t="inlineStr">
        <is>
          <t xml:space="preserve">r.mix = 2 I.lm / (pi I.trafo): &gt;= 1 means the peak IS the magnetizing current</t>
        </is>
      </c>
      <c r="C134" s="85" t="inlineStr">
        <is>
          <t xml:space="preserve">r.mix</t>
        </is>
      </c>
      <c r="D134" s="86">
        <f>IF(D132&gt;0,2*D133/(PI()*D132),1E+9)</f>
      </c>
      <c r="E134" s="86">
        <f>IF(E132&gt;0,2*E133/(PI()*E132),1E+9)</f>
      </c>
      <c r="F134" s="86">
        <f>IF(F132&gt;0,2*F133/(PI()*F132),1E+9)</f>
      </c>
      <c r="G134" s="86">
        <f>IF(G132&gt;0,2*G133/(PI()*G132),1E+9)</f>
      </c>
      <c r="H134" s="86">
        <f>IF(H132&gt;0,2*H133/(PI()*H132),1E+9)</f>
      </c>
      <c r="I134" s="85" t="inlineStr">
        <is>
          <t xml:space="preserve">-</t>
        </is>
      </c>
    </row>
    <row r="135">
      <c r="B135" s="85" t="inlineStr">
        <is>
          <t xml:space="preserve">Position of the composite peak in the half cycle</t>
        </is>
      </c>
      <c r="C135" s="85" t="inlineStr">
        <is>
          <t xml:space="preserve">x.pk</t>
        </is>
      </c>
      <c r="D135" s="86">
        <f>ACOS(-MIN(D134,0.999999999))/PI()</f>
      </c>
      <c r="E135" s="86">
        <f>ACOS(-MIN(E134,0.999999999))/PI()</f>
      </c>
      <c r="F135" s="86">
        <f>ACOS(-MIN(F134,0.999999999))/PI()</f>
      </c>
      <c r="G135" s="86">
        <f>ACOS(-MIN(G134,0.999999999))/PI()</f>
      </c>
      <c r="H135" s="86">
        <f>ACOS(-MIN(H134,0.999999999))/PI()</f>
      </c>
      <c r="I135" s="85" t="inlineStr">
        <is>
          <t xml:space="preserve">-</t>
        </is>
      </c>
    </row>
    <row r="136">
      <c r="B136" s="85" t="inlineStr">
        <is>
          <t xml:space="preserve">COMPOSITE TANK CURRENT PEAK  [79]</t>
        </is>
      </c>
      <c r="C136" s="85" t="inlineStr">
        <is>
          <t xml:space="preserve">I.Lr.pk</t>
        </is>
      </c>
      <c r="D136" s="86">
        <f>IF(D134&gt;=1,D133,D133*(2*D135-1)+D132*SIN(PI()*D135))</f>
      </c>
      <c r="E136" s="86">
        <f>IF(E134&gt;=1,E133,E133*(2*E135-1)+E132*SIN(PI()*E135))</f>
      </c>
      <c r="F136" s="86">
        <f>IF(F134&gt;=1,F133,F133*(2*F135-1)+F132*SIN(PI()*F135))</f>
      </c>
      <c r="G136" s="86">
        <f>IF(G134&gt;=1,G133,G133*(2*G135-1)+G132*SIN(PI()*G135))</f>
      </c>
      <c r="H136" s="86">
        <f>IF(H134&gt;=1,H133,H133*(2*H135-1)+H132*SIN(PI()*H135))</f>
      </c>
      <c r="I136" s="85" t="inlineStr">
        <is>
          <t xml:space="preserve">A</t>
        </is>
      </c>
    </row>
    <row r="137">
      <c r="B137" s="85" t="inlineStr">
        <is>
          <t xml:space="preserve">Composite over magnetizing (1.000 = the load adds nothing)</t>
        </is>
      </c>
      <c r="C137" s="85" t="inlineStr">
        <is>
          <t xml:space="preserve">r.add</t>
        </is>
      </c>
      <c r="D137" s="86">
        <f>D136/D133</f>
      </c>
      <c r="E137" s="86">
        <f>E136/E133</f>
      </c>
      <c r="F137" s="86">
        <f>F136/F133</f>
      </c>
      <c r="G137" s="86">
        <f>G136/G133</f>
      </c>
      <c r="H137" s="86">
        <f>H136/H133</f>
      </c>
      <c r="I137" s="85" t="inlineStr">
        <is>
          <t xml:space="preserve">-</t>
        </is>
      </c>
    </row>
    <row r="138">
      <c r="B138" s="85" t="inlineStr">
        <is>
          <t xml:space="preserve">What sets the peak</t>
        </is>
      </c>
      <c r="C138" s="85" t="inlineStr">
        <is>
          <t xml:space="preserve">set by</t>
        </is>
      </c>
      <c r="D138" s="86">
        <f>IF(D134&gt;=1,"magnetizing alone","load + magnetizing")</f>
      </c>
      <c r="E138" s="86">
        <f>IF(E134&gt;=1,"magnetizing alone","load + magnetizing")</f>
      </c>
      <c r="F138" s="86">
        <f>IF(F134&gt;=1,"magnetizing alone","load + magnetizing")</f>
      </c>
      <c r="G138" s="86">
        <f>IF(G134&gt;=1,"magnetizing alone","load + magnetizing")</f>
      </c>
      <c r="H138" s="86">
        <f>IF(H134&gt;=1,"magnetizing alone","load + magnetizing")</f>
      </c>
      <c r="I138" s="85" t="inlineStr">
        <is>
          <t xml:space="preserve"/>
        </is>
      </c>
    </row>
    <row r="139">
      <c r="B139" s="85" t="inlineStr">
        <is>
          <t xml:space="preserve">OCP1 margin: I.OCP1 (D49) over the composite peak</t>
        </is>
      </c>
      <c r="C139" s="85" t="inlineStr">
        <is>
          <t xml:space="preserve">m.OCP1</t>
        </is>
      </c>
      <c r="D139" s="86">
        <f>$D$49/D136</f>
      </c>
      <c r="E139" s="86">
        <f>$D$49/E136</f>
      </c>
      <c r="F139" s="86">
        <f>$D$49/F136</f>
      </c>
      <c r="G139" s="86">
        <f>$D$49/G136</f>
      </c>
      <c r="H139" s="86">
        <f>$D$49/H136</f>
      </c>
      <c r="I139" s="85" t="inlineStr">
        <is>
          <t xml:space="preserve">-</t>
        </is>
      </c>
    </row>
    <row r="140">
      <c r="B140" s="85" t="inlineStr">
        <is>
          <t xml:space="preserve">Magnetizing peak at the line ZERO crossing - f.Min (D28), below f.r, at ANY load; then the OCP1 margin over it</t>
        </is>
      </c>
      <c r="C140" s="85" t="inlineStr">
        <is>
          <t xml:space="preserve">I.lm.zc</t>
        </is>
      </c>
      <c r="D140" s="86">
        <f>0.25*'Res. Tank Design'!$D$42*('Design Spec'!$D$95+'Design Spec'!$D$107*'Design Spec'!$D$106)/(IF('Res. Tank Design'!$F$45,'Res. Tank Design'!$F$45,'Res. Tank Design'!$D$45)*10^(-6)*MAX($D$28,'Res. Tank Design'!$D$55)*1000)</f>
      </c>
      <c r="E140" s="86">
        <f>$D$49/D140</f>
      </c>
      <c r="I140" s="85" t="inlineStr">
        <is>
          <t xml:space="preserve">A, -</t>
        </is>
      </c>
    </row>
    <row r="141">
      <c r="B141" s="85" t="inlineStr">
        <is>
          <t xml:space="preserve">Check: the 100 % column against D32, which takes its frequency from the RTC grid (f.r/69 steps) - expect 0.99-1.01</t>
        </is>
      </c>
      <c r="C141" s="85" t="inlineStr">
        <is>
          <t xml:space="preserve">H136 / D32</t>
        </is>
      </c>
      <c r="D141" s="86">
        <f>H136/D32</f>
      </c>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12.05085</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