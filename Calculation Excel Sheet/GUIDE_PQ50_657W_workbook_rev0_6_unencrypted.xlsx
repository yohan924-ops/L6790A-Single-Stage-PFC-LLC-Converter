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<sst xmlns="http://schemas.openxmlformats.org/spreadsheetml/2006/main" count="2127" uniqueCount="1232">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</sst>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3.emf"/><Relationship Id="rId3" Type="http://schemas.openxmlformats.org/officeDocument/2006/relationships/image" Target="../media/image14.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5.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200</xdr:row>
      <xdr:rowOff>171360</xdr:rowOff>
    </xdr:from>
    <xdr:to>
      <xdr:col>1</xdr:col>
      <xdr:colOff>2876760</xdr:colOff>
      <xdr:row>214</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200</xdr:row>
      <xdr:rowOff>56160</xdr:rowOff>
    </xdr:from>
    <xdr:to>
      <xdr:col>4</xdr:col>
      <xdr:colOff>303840</xdr:colOff>
      <xdr:row>214</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2</xdr:col>
      <xdr:colOff>704850</xdr:colOff>
      <xdr:row>61</xdr:row>
      <xdr:rowOff>57150</xdr:rowOff>
    </xdr:from>
    <xdr:ext cx="3181350" cy="1504950"/>
    <xdr:pic>
      <xdr:nvPicPr>
        <xdr:cNvPr id="25"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89-176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Old rows 76-80 are now 84-88 and old 81-119 (the secondary section) 177-215; CHANGELOG entries above this line name the old rows. Res. Tank Design 81-87: start-up I.su, k.su.OCP2, k.su.OCP1, f.su.OCP1. CC 77-164: the working (gate_budget.py model).</t>
        </is>
      </c>
    </row>
    <row r="153">
      <c r="B153" s="8" t="inlineStr">
        <is>
          <t xml:space="preserve">Power Components</t>
        </is>
      </c>
      <c r="C153" s="8" t="inlineStr">
        <is>
          <t xml:space="preserve">B76:E83</t>
        </is>
      </c>
      <c r="F153" s="8" t="inlineStr">
        <is>
          <t xml:space="preserve">switch gate data (yellow)</t>
        </is>
      </c>
    </row>
    <row r="154">
      <c r="B154" s="8" t="inlineStr">
        <is>
          <t xml:space="preserve">Power Components</t>
        </is>
      </c>
      <c r="C154" s="8" t="inlineStr">
        <is>
          <t xml:space="preserve">B89:G176</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B77:D164</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5"/>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(0 = derive as V.test / I.so)</t>
        </is>
      </c>
      <c r="C97" s="1" t="inlineStr">
        <is>
          <t xml:space="preserve">R.o.src</t>
        </is>
      </c>
      <c r="D97" s="2">
        <v>0</v>
      </c>
      <c r="E97" s="26" t="inlineStr">
        <is>
          <t xml:space="preserve">Ω</t>
        </is>
      </c>
    </row>
    <row r="98">
      <c r="B98" s="1" t="inlineStr">
        <is>
          <t xml:space="preserve">Output resistance, sink (0 = derive as V.test / I.si)</t>
        </is>
      </c>
      <c r="C98" s="1" t="inlineStr">
        <is>
          <t xml:space="preserve">R.o.sink</t>
        </is>
      </c>
      <c r="D98" s="2">
        <v>0</v>
      </c>
      <c r="E98" s="26" t="inlineStr">
        <is>
          <t xml:space="preserve">Ω</t>
        </is>
      </c>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CC!$C$85</f>
      </c>
      <c r="E125" s="26" t="inlineStr">
        <is>
          <t xml:space="preserve">V</t>
        </is>
      </c>
    </row>
    <row r="126">
      <c r="B126" s="1" t="inlineStr">
        <is>
          <t xml:space="preserve">Minimum gate drive voltage (10 V at the high-side gate)</t>
        </is>
      </c>
      <c r="C126" s="1" t="inlineStr">
        <is>
          <t xml:space="preserve">V.drv.min</t>
        </is>
      </c>
      <c r="D126" s="49">
        <f>CC!$C$84</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start-up pulse)</t>
        </is>
      </c>
      <c r="C128" s="1" t="inlineStr">
        <is>
          <t xml:space="preserve">R.on.max</t>
        </is>
      </c>
      <c r="D128" s="49">
        <f>CC!$C$108</f>
      </c>
      <c r="E128" s="26" t="inlineStr">
        <is>
          <t xml:space="preserve">Ω</t>
        </is>
      </c>
    </row>
    <row r="129">
      <c r="B129" s="1" t="inlineStr">
        <is>
          <t xml:space="preserve">Minimum turn-on resistor: driver temperature, source current (0 = R.so alone covers them)</t>
        </is>
      </c>
      <c r="C129" s="1" t="inlineStr">
        <is>
          <t xml:space="preserve">R.on.min</t>
        </is>
      </c>
      <c r="D129" s="49">
        <f>CC!$C$107</f>
      </c>
      <c r="E129" s="26" t="inlineStr">
        <is>
          <t xml:space="preserve">Ω</t>
        </is>
      </c>
    </row>
    <row r="130">
      <c r="B130" s="1" t="inlineStr">
        <is>
          <t xml:space="preserve">Select R.on between R.on.min and R.on.max (Value: E12)</t>
        </is>
      </c>
      <c r="C130" s="1" t="inlineStr">
        <is>
          <t xml:space="preserve">R.on</t>
        </is>
      </c>
      <c r="D130" s="49">
        <f>CC!$C$110</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CC!$C$138</f>
      </c>
      <c r="E131" s="26" t="inlineStr">
        <is>
          <t xml:space="preserve">Ω</t>
        </is>
      </c>
    </row>
    <row r="132">
      <c r="B132" s="1" t="inlineStr">
        <is>
          <t xml:space="preserve">Minimum turn-off resistor: sink current, D.off surge (0 = R.si alone covers them)</t>
        </is>
      </c>
      <c r="C132" s="1" t="inlineStr">
        <is>
          <t xml:space="preserve">R.off.min</t>
        </is>
      </c>
      <c r="D132" s="49">
        <f>CC!$C$147</f>
      </c>
      <c r="E132" s="26" t="inlineStr">
        <is>
          <t xml:space="preserve">Ω</t>
        </is>
      </c>
    </row>
    <row r="133">
      <c r="B133" s="1" t="inlineStr">
        <is>
          <t xml:space="preserve">Select R.off: with D.off || R.on, or alone on GOFF (Value: E12)</t>
        </is>
      </c>
      <c r="C133" s="1" t="inlineStr">
        <is>
          <t xml:space="preserve">R.off</t>
        </is>
      </c>
      <c r="D133" s="49">
        <f>CC!$C$140</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CC!$C$109</f>
      </c>
      <c r="E134" s="26" t="inlineStr">
        <is>
          <t xml:space="preserve">nF</t>
        </is>
      </c>
    </row>
    <row r="135">
      <c r="B135" s="1" t="inlineStr">
        <is>
          <t xml:space="preserve">Minimum gate-source capacitor against the Miller kick (0 = the turn-off path alone holds)</t>
        </is>
      </c>
      <c r="C135" s="1" t="inlineStr">
        <is>
          <t xml:space="preserve">C.gs.min</t>
        </is>
      </c>
      <c r="D135" s="49">
        <f>CC!$C$117</f>
      </c>
      <c r="E135" s="26" t="inlineStr">
        <is>
          <t xml:space="preserve">nF</t>
        </is>
      </c>
    </row>
    <row r="136">
      <c r="B136" s="1" t="inlineStr">
        <is>
          <t xml:space="preserve">Select C.gs (Value: E6)</t>
        </is>
      </c>
      <c r="C136" s="1" t="inlineStr">
        <is>
          <t xml:space="preserve">C.gs</t>
        </is>
      </c>
      <c r="D136" s="49">
        <f>CC!$C$118</f>
      </c>
      <c r="E136" s="26" t="inlineStr">
        <is>
          <t xml:space="preserve">nF</t>
        </is>
      </c>
      <c r="F136" s="2">
        <v>0</v>
      </c>
    </row>
    <row r="137">
      <c r="B137" s="1" t="inlineStr">
        <is>
          <t xml:space="preserve">Maximum bootstrap capacitor (first LOUT pulse charges it to V.bo.min)</t>
        </is>
      </c>
      <c r="C137" s="1" t="inlineStr">
        <is>
          <t xml:space="preserve">C.boot.max</t>
        </is>
      </c>
      <c r="D137" s="49">
        <f>CC!$C$149</f>
      </c>
      <c r="E137" s="26" t="inlineStr">
        <is>
          <t xml:space="preserve">nF</t>
        </is>
      </c>
    </row>
    <row r="138">
      <c r="B138" s="1" t="inlineStr">
        <is>
          <t xml:space="preserve">Minimum bootstrap capacitor (10 x gate capacitance)</t>
        </is>
      </c>
      <c r="C138" s="1" t="inlineStr">
        <is>
          <t xml:space="preserve">C.boot.min</t>
        </is>
      </c>
      <c r="D138" s="49">
        <f>CC!$C$148</f>
      </c>
      <c r="E138" s="26" t="inlineStr">
        <is>
          <t xml:space="preserve">nF</t>
        </is>
      </c>
    </row>
    <row r="139">
      <c r="B139" s="1" t="inlineStr">
        <is>
          <t xml:space="preserve">Select C.boot between C.boot.min and C.boot.max (Value: E6)</t>
        </is>
      </c>
      <c r="C139" s="1" t="inlineStr">
        <is>
          <t xml:space="preserve">C.boot</t>
        </is>
      </c>
      <c r="D139" s="49">
        <f>CC!$C$150</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CC!$C$152</f>
      </c>
      <c r="E140" s="26" t="inlineStr">
        <is>
          <t xml:space="preserve">Ω</t>
        </is>
      </c>
    </row>
    <row r="141">
      <c r="B141" s="1" t="inlineStr">
        <is>
          <t xml:space="preserve">Minimum bootstrap resistor (D.boot surge into an empty C.boot)</t>
        </is>
      </c>
      <c r="C141" s="1" t="inlineStr">
        <is>
          <t xml:space="preserve">R.boot.min</t>
        </is>
      </c>
      <c r="D141" s="49">
        <f>CC!$C$154</f>
      </c>
      <c r="E141" s="26" t="inlineStr">
        <is>
          <t xml:space="preserve">Ω</t>
        </is>
      </c>
    </row>
    <row r="142">
      <c r="B142" s="1" t="inlineStr">
        <is>
          <t xml:space="preserve">Select R.boot between R.boot.min and R.boot.max (Value: E12)</t>
        </is>
      </c>
      <c r="C142" s="1" t="inlineStr">
        <is>
          <t xml:space="preserve">R.boot</t>
        </is>
      </c>
      <c r="D142" s="49">
        <f>CC!$C$153</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Driver output resistance in use, source (in series with R.on)</t>
        </is>
      </c>
      <c r="C144" s="1" t="inlineStr">
        <is>
          <t xml:space="preserve">R.so</t>
        </is>
      </c>
      <c r="D144" s="49">
        <f>CC!$C$81</f>
      </c>
      <c r="E144" s="26" t="inlineStr">
        <is>
          <t xml:space="preserve">Ω</t>
        </is>
      </c>
    </row>
    <row r="145">
      <c r="B145" s="1" t="inlineStr">
        <is>
          <t xml:space="preserve">Driver output resistance in use, sink (in series with R.off)</t>
        </is>
      </c>
      <c r="C145" s="1" t="inlineStr">
        <is>
          <t xml:space="preserve">R.si</t>
        </is>
      </c>
      <c r="D145" s="49">
        <f>CC!$C$82</f>
      </c>
      <c r="E145" s="26" t="inlineStr">
        <is>
          <t xml:space="preserve">Ω</t>
        </is>
      </c>
    </row>
    <row r="146">
      <c r="B146" s="1" t="inlineStr">
        <is>
          <t xml:space="preserve">Peak gate current, turn-on</t>
        </is>
      </c>
      <c r="C146" s="1" t="inlineStr">
        <is>
          <t xml:space="preserve">I.G.on.pk</t>
        </is>
      </c>
      <c r="D146" s="49">
        <f>CC!$C$141</f>
      </c>
      <c r="E146" s="26" t="inlineStr">
        <is>
          <t xml:space="preserve">A</t>
        </is>
      </c>
    </row>
    <row r="147">
      <c r="B147" s="1" t="inlineStr">
        <is>
          <t xml:space="preserve">Peak gate current, turn-off</t>
        </is>
      </c>
      <c r="C147" s="1" t="inlineStr">
        <is>
          <t xml:space="preserve">I.G.off.pk</t>
        </is>
      </c>
      <c r="D147" s="49">
        <f>CC!$C$142</f>
      </c>
      <c r="E147" s="26" t="inlineStr">
        <is>
          <t xml:space="preserve">A</t>
        </is>
      </c>
    </row>
    <row r="148">
      <c r="B148" s="1" t="inlineStr">
        <is>
          <t xml:space="preserve">Driver current margin: I.so / I.G.on.pk and I.si / I.G.off.pk (&gt;1)</t>
        </is>
      </c>
      <c r="C148" s="1" t="inlineStr">
        <is>
          <t xml:space="preserve">k.IG</t>
        </is>
      </c>
      <c r="D148" s="49">
        <f>CC!$C$143</f>
      </c>
      <c r="E148" s="26" t="inlineStr">
        <is>
          <t xml:space="preserve">-</t>
        </is>
      </c>
      <c r="F148" s="1">
        <f>IF(D148&gt;=1,"OK","CHECK")</f>
      </c>
    </row>
    <row r="149">
      <c r="B149" s="1" t="inlineStr">
        <is>
          <t xml:space="preserve">Turn-off path resistance (&lt;= R.off.eff.max)</t>
        </is>
      </c>
      <c r="C149" s="1" t="inlineStr">
        <is>
          <t xml:space="preserve">R.off.eff</t>
        </is>
      </c>
      <c r="D149" s="49">
        <f>CC!$C$89</f>
      </c>
      <c r="E149" s="26" t="inlineStr">
        <is>
          <t xml:space="preserve">Ω</t>
        </is>
      </c>
      <c r="F149" s="1">
        <f>IF(D149&lt;=D131,"OK","CHECK")</f>
      </c>
    </row>
    <row r="150">
      <c r="B150" s="1" t="inlineStr">
        <is>
          <t xml:space="preserve">Dead time needed in run (IC ADT 40-420 ns, or the driver t.DT)</t>
        </is>
      </c>
      <c r="C150" s="1" t="inlineStr">
        <is>
          <t xml:space="preserve">t.D.need</t>
        </is>
      </c>
      <c r="D150" s="49">
        <f>CC!$C$123</f>
      </c>
      <c r="E150" s="26" t="inlineStr">
        <is>
          <t xml:space="preserve">ns</t>
        </is>
      </c>
    </row>
    <row r="151">
      <c r="B151" s="1" t="inlineStr">
        <is>
          <t xml:space="preserve">Dead time allowed in run (gate on before the current reverses)</t>
        </is>
      </c>
      <c r="C151" s="1" t="inlineStr">
        <is>
          <t xml:space="preserve">t.D.max</t>
        </is>
      </c>
      <c r="D151" s="49">
        <f>CC!$C$124</f>
      </c>
      <c r="E151" s="26" t="inlineStr">
        <is>
          <t xml:space="preserve">ns</t>
        </is>
      </c>
    </row>
    <row r="152">
      <c r="B152" s="1" t="inlineStr">
        <is>
          <t xml:space="preserve">Dead time margin in run (&gt;1)</t>
        </is>
      </c>
      <c r="C152" s="1" t="inlineStr">
        <is>
          <t xml:space="preserve">k.tD</t>
        </is>
      </c>
      <c r="D152" s="49">
        <f>CC!$C$125</f>
      </c>
      <c r="E152" s="26" t="inlineStr">
        <is>
          <t xml:space="preserve">-</t>
        </is>
      </c>
      <c r="F152" s="1">
        <f>IF(D152&gt;=1,"OK","CHECK")</f>
      </c>
    </row>
    <row r="153">
      <c r="B153" s="1" t="inlineStr">
        <is>
          <t xml:space="preserve">Start-up dead time needed (gate delays + swing at I.su, FB and HB)</t>
        </is>
      </c>
      <c r="C153" s="1" t="inlineStr">
        <is>
          <t xml:space="preserve">t.D.su.min</t>
        </is>
      </c>
      <c r="D153" s="49">
        <f>CC!$C$129</f>
      </c>
      <c r="E153" s="26" t="inlineStr">
        <is>
          <t xml:space="preserve">ns</t>
        </is>
      </c>
    </row>
    <row r="154">
      <c r="B154" s="1" t="inlineStr">
        <is>
          <t xml:space="preserve">Start-up dead time allowed (channel on before the current reverses, T/4 at f.SU)</t>
        </is>
      </c>
      <c r="C154" s="1" t="inlineStr">
        <is>
          <t xml:space="preserve">t.D.su.max</t>
        </is>
      </c>
      <c r="D154" s="49">
        <f>CC!$C$130</f>
      </c>
      <c r="E154" s="26" t="inlineStr">
        <is>
          <t xml:space="preserve">ns</t>
        </is>
      </c>
    </row>
    <row r="155">
      <c r="B155" s="1" t="inlineStr">
        <is>
          <t xml:space="preserve">Start-up dead time margin at the IC 420 ns (CC) or the driver t.DT (&gt;1)</t>
        </is>
      </c>
      <c r="C155" s="1" t="inlineStr">
        <is>
          <t xml:space="preserve">k.tD.su</t>
        </is>
      </c>
      <c r="D155" s="49">
        <f>CC!$C$132</f>
      </c>
      <c r="E155" s="26" t="inlineStr">
        <is>
          <t xml:space="preserve">-</t>
        </is>
      </c>
      <c r="F155" s="1">
        <f>IF(D155&gt;=1,"OK","CHECK")</f>
      </c>
    </row>
    <row r="156">
      <c r="B156" s="1" t="inlineStr">
        <is>
          <t xml:space="preserve">Gate voltage at the end of the start-up pulse (&gt;= 10 V)</t>
        </is>
      </c>
      <c r="C156" s="1" t="inlineStr">
        <is>
          <t xml:space="preserve">V.g.su</t>
        </is>
      </c>
      <c r="D156" s="49">
        <f>CC!$C$95</f>
      </c>
      <c r="E156" s="26" t="inlineStr">
        <is>
          <t xml:space="preserve">V</t>
        </is>
      </c>
      <c r="F156" s="1">
        <f>IF(D156&gt;=10,"OK","CHECK")</f>
      </c>
    </row>
    <row r="157">
      <c r="B157" s="1" t="inlineStr">
        <is>
          <t xml:space="preserve">V.BS after the first LOUT pulse (&gt;= V.bo.min)</t>
        </is>
      </c>
      <c r="C157" s="1" t="inlineStr">
        <is>
          <t xml:space="preserve">V.bs.1</t>
        </is>
      </c>
      <c r="D157" s="49">
        <f>CC!$C$159</f>
      </c>
      <c r="E157" s="26" t="inlineStr">
        <is>
          <t xml:space="preserve">V</t>
        </is>
      </c>
      <c r="F157" s="1">
        <f>IF(D157&gt;=D108,"OK","CHECK")</f>
      </c>
    </row>
    <row r="158">
      <c r="B158" s="1" t="inlineStr">
        <is>
          <t xml:space="preserve">V.BS lowest, steady at f.SU</t>
        </is>
      </c>
      <c r="C158" s="1" t="inlineStr">
        <is>
          <t xml:space="preserve">V.bs.min</t>
        </is>
      </c>
      <c r="D158" s="49">
        <f>CC!$C$161</f>
      </c>
      <c r="E158" s="26" t="inlineStr">
        <is>
          <t xml:space="preserve">V</t>
        </is>
      </c>
    </row>
    <row r="159">
      <c r="B159" s="1" t="inlineStr">
        <is>
          <t xml:space="preserve">Gate-off margin against the Miller kick (&gt;1)</t>
        </is>
      </c>
      <c r="C159" s="1" t="inlineStr">
        <is>
          <t xml:space="preserve">k.Miller</t>
        </is>
      </c>
      <c r="D159" s="49">
        <f>CC!$C$116</f>
      </c>
      <c r="E159" s="26" t="inlineStr">
        <is>
          <t xml:space="preserve">-</t>
        </is>
      </c>
      <c r="F159" s="1">
        <f>IF(D159&gt;=1,"OK","CHECK")</f>
      </c>
    </row>
    <row r="160">
      <c r="B160" s="1" t="inlineStr">
        <is>
          <t xml:space="preserve">Midpoint dv/dt at start-up (I.su / c.HB)</t>
        </is>
      </c>
      <c r="C160" s="1" t="inlineStr">
        <is>
          <t xml:space="preserve">dv/dt.su</t>
        </is>
      </c>
      <c r="D160" s="49">
        <f>CC!$C$133</f>
      </c>
      <c r="E160" s="26" t="inlineStr">
        <is>
          <t xml:space="preserve">V/ns</t>
        </is>
      </c>
    </row>
    <row r="161">
      <c r="B161" s="1" t="inlineStr">
        <is>
          <t xml:space="preserve">Driver ratings margin: dV/dt, HS pin voltage, L6790A V.OH 4 V vs V.IH.max (&gt;1)</t>
        </is>
      </c>
      <c r="C161" s="1" t="inlineStr">
        <is>
          <t xml:space="preserve">k.drv</t>
        </is>
      </c>
      <c r="D161" s="49">
        <f>CC!$C$134</f>
      </c>
      <c r="E161" s="26" t="inlineStr">
        <is>
          <t xml:space="preserve">-</t>
        </is>
      </c>
      <c r="F161" s="1">
        <f>IF(D161&gt;=1,"OK","CHECK")</f>
      </c>
    </row>
    <row r="162">
      <c r="B162" s="1" t="inlineStr">
        <is>
          <t xml:space="preserve">Maximum driver dissipation at Ta.drv: (Tj.max - Ta.drv) / Rth</t>
        </is>
      </c>
      <c r="C162" s="1" t="inlineStr">
        <is>
          <t xml:space="preserve">P.drv.max</t>
        </is>
      </c>
      <c r="D162" s="49">
        <f>CC!$C$102</f>
      </c>
      <c r="E162" s="26" t="inlineStr">
        <is>
          <t xml:space="preserve">W</t>
        </is>
      </c>
    </row>
    <row r="163">
      <c r="B163" s="1" t="inlineStr">
        <is>
          <t xml:space="preserve">Driver dissipation at f.Max, both sides (&lt;= P.drv.max)</t>
        </is>
      </c>
      <c r="C163" s="1" t="inlineStr">
        <is>
          <t xml:space="preserve">P.drv</t>
        </is>
      </c>
      <c r="D163" s="49">
        <f>CC!$C$101</f>
      </c>
      <c r="E163" s="26" t="inlineStr">
        <is>
          <t xml:space="preserve">W</t>
        </is>
      </c>
      <c r="F163" s="1">
        <f>IF(D163&lt;=D162,"OK","CHECK")</f>
      </c>
    </row>
    <row r="164">
      <c r="B164" s="1" t="inlineStr">
        <is>
          <t xml:space="preserve">Driver junction temperature at f.Max and Ta.drv</t>
        </is>
      </c>
      <c r="C164" s="1" t="inlineStr">
        <is>
          <t xml:space="preserve">Tj.drv</t>
        </is>
      </c>
      <c r="D164" s="49">
        <f>CC!$C$164</f>
      </c>
      <c r="E164" s="26" t="inlineStr">
        <is>
          <t xml:space="preserve">˚C</t>
        </is>
      </c>
    </row>
    <row r="165">
      <c r="B165" s="1" t="inlineStr">
        <is>
          <t xml:space="preserve">Start-up frequency f.SU (&lt;= driver f.max and L6790A 675 kHz)</t>
        </is>
      </c>
      <c r="C165" s="1" t="inlineStr">
        <is>
          <t xml:space="preserve">f.SU</t>
        </is>
      </c>
      <c r="D165" s="49">
        <f>'Device Setting'!$D$29</f>
      </c>
      <c r="E165" s="26" t="inlineStr">
        <is>
          <t xml:space="preserve">kHz</t>
        </is>
      </c>
      <c r="F165" s="1">
        <f>IF(D165&lt;=MIN(D104,CC!$C$79),"OK","CHECK")</f>
      </c>
    </row>
    <row r="166">
      <c r="B166" s="1" t="inlineStr">
        <is>
          <t xml:space="preserve">R.on dissipation at f.Max (package rating &gt;= 2x)</t>
        </is>
      </c>
      <c r="C166" s="1" t="inlineStr">
        <is>
          <t xml:space="preserve">P.Ron</t>
        </is>
      </c>
      <c r="D166" s="49">
        <f>CC!$C$162</f>
      </c>
      <c r="E166" s="26" t="inlineStr">
        <is>
          <t xml:space="preserve">W</t>
        </is>
      </c>
    </row>
    <row r="167">
      <c r="B167" s="1" t="inlineStr">
        <is>
          <t xml:space="preserve">R.off dissipation at f.Max (package rating &gt;= 2x)</t>
        </is>
      </c>
      <c r="C167" s="1" t="inlineStr">
        <is>
          <t xml:space="preserve">P.Roff</t>
        </is>
      </c>
      <c r="D167" s="49">
        <f>CC!$C$163</f>
      </c>
      <c r="E167" s="26" t="inlineStr">
        <is>
          <t xml:space="preserve">W</t>
        </is>
      </c>
    </row>
    <row r="168">
      <c r="B168" s="1" t="inlineStr">
        <is>
          <t xml:space="preserve">D.boot peak current into an empty C.boot</t>
        </is>
      </c>
      <c r="C168" s="1" t="inlineStr">
        <is>
          <t xml:space="preserve">I.boot.pk</t>
        </is>
      </c>
      <c r="D168" s="49">
        <f>CC!$C$155</f>
      </c>
      <c r="E168" s="26" t="inlineStr">
        <is>
          <t xml:space="preserve">A</t>
        </is>
      </c>
    </row>
    <row r="169">
      <c r="B169" s="1" t="inlineStr">
        <is>
          <t xml:space="preserve">D.boot average current at f.Max</t>
        </is>
      </c>
      <c r="C169" s="1" t="inlineStr">
        <is>
          <t xml:space="preserve">I.boot.avg</t>
        </is>
      </c>
      <c r="D169" s="49">
        <f>CC!$C$156</f>
      </c>
      <c r="E169" s="26" t="inlineStr">
        <is>
          <t xml:space="preserve">mA</t>
        </is>
      </c>
    </row>
    <row r="170">
      <c r="B170" s="1" t="inlineStr">
        <is>
          <t xml:space="preserve">D.boot reverse voltage seen: V.bus.max + V.drv</t>
        </is>
      </c>
      <c r="C170" s="1" t="inlineStr">
        <is>
          <t xml:space="preserve">V.RRM.need</t>
        </is>
      </c>
      <c r="D170" s="49">
        <f>CC!$C$157</f>
      </c>
      <c r="E170" s="26" t="inlineStr">
        <is>
          <t xml:space="preserve">V</t>
        </is>
      </c>
    </row>
    <row r="171">
      <c r="B171" s="1" t="inlineStr">
        <is>
          <t xml:space="preserve">D.boot margin: V.RRM, I.FSM / I.boot.pk, I.F / I.boot.avg (&gt;1)</t>
        </is>
      </c>
      <c r="C171" s="1" t="inlineStr">
        <is>
          <t xml:space="preserve">k.D.boot</t>
        </is>
      </c>
      <c r="D171" s="49">
        <f>CC!$C$158</f>
      </c>
      <c r="E171" s="26" t="inlineStr">
        <is>
          <t xml:space="preserve">-</t>
        </is>
      </c>
      <c r="F171" s="1">
        <f>IF(D171&gt;=1,"OK","CHECK")</f>
      </c>
    </row>
    <row r="172">
      <c r="B172" s="1" t="inlineStr">
        <is>
          <t xml:space="preserve">D.off peak current (gate at V.drv through R.off)</t>
        </is>
      </c>
      <c r="C172" s="1" t="inlineStr">
        <is>
          <t xml:space="preserve">I.off.pk</t>
        </is>
      </c>
      <c r="D172" s="49">
        <f>CC!$C$144</f>
      </c>
      <c r="E172" s="26" t="inlineStr">
        <is>
          <t xml:space="preserve">A</t>
        </is>
      </c>
    </row>
    <row r="173">
      <c r="B173" s="1" t="inlineStr">
        <is>
          <t xml:space="preserve">D.off average current at f.Max</t>
        </is>
      </c>
      <c r="C173" s="1" t="inlineStr">
        <is>
          <t xml:space="preserve">I.off.avg</t>
        </is>
      </c>
      <c r="D173" s="49">
        <f>CC!$C$145</f>
      </c>
      <c r="E173" s="26" t="inlineStr">
        <is>
          <t xml:space="preserve">mA</t>
        </is>
      </c>
    </row>
    <row r="174">
      <c r="B174" s="1" t="inlineStr">
        <is>
          <t xml:space="preserve">D.off margin: I.FSM / I.off.pk, I.F / I.off.avg (&gt;1; "-" without D.off)</t>
        </is>
      </c>
      <c r="C174" s="1" t="inlineStr">
        <is>
          <t xml:space="preserve">k.D.off</t>
        </is>
      </c>
      <c r="D174" s="49">
        <f>CC!$C$146</f>
      </c>
      <c r="E174" s="26" t="inlineStr">
        <is>
          <t xml:space="preserve">-</t>
        </is>
      </c>
      <c r="F174" s="1">
        <f>IF(D121=0,"-",IF(D174&gt;=1,"OK","CHECK"))</f>
      </c>
    </row>
    <row r="175"/>
    <row r="176"/>
    <row r="177" spans="2:14" ht="18" customHeight="1">
      <c r="B177"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7" s="19"/>
      <c r="F177" s="76"/>
      <c r="G177" s="76"/>
      <c r="H177" s="76"/>
      <c r="I177" s="76"/>
      <c r="J177" s="76"/>
      <c r="K177" s="76"/>
      <c r="L177" s="76"/>
      <c r="M177" s="76"/>
      <c r="N177" s="76"/>
    </row>
    <row r="178" spans="2:14" ht="14.25" customHeight="1">
      <c r="B178" s="1"/>
      <c r="C178" s="1"/>
      <c r="D178" s="77"/>
      <c r="E178" s="1"/>
      <c r="F178" s="76"/>
      <c r="G178" s="76"/>
      <c r="H178" s="76"/>
      <c r="I178" s="76"/>
      <c r="J178" s="76"/>
      <c r="K178" s="76"/>
      <c r="L178" s="76"/>
      <c r="M178" s="76"/>
      <c r="N178" s="76"/>
    </row>
    <row r="179" spans="2:14" ht="15.75" customHeight="1">
      <c r="B179" s="20" t="s">
        <v>356</v>
      </c>
      <c r="C179" s="20" t="s">
        <v>132</v>
      </c>
      <c r="D179" s="20" t="s">
        <v>133</v>
      </c>
      <c r="E179" s="20" t="s">
        <v>431</v>
      </c>
      <c r="F179" s="76"/>
      <c r="G179" s="76"/>
      <c r="H179" s="76"/>
      <c r="I179" s="76"/>
      <c r="J179" s="76"/>
      <c r="K179" s="76"/>
      <c r="L179" s="76"/>
      <c r="M179" s="76"/>
      <c r="N179" s="76"/>
    </row>
    <row r="180" spans="2:14" ht="15" customHeight="1">
      <c r="B180" s="1" t="s">
        <v>1086</v>
      </c>
      <c r="C180" s="1" t="s">
        <v>1187</v>
      </c>
      <c r="D180" s="49">
        <f>CC!J25</f>
        <v>28.329125161562832</v>
      </c>
      <c r="E180" s="1" t="s">
        <v>237</v>
      </c>
      <c r="F180" s="65"/>
      <c r="G180" s="76"/>
      <c r="H180" s="76"/>
      <c r="I180" s="76"/>
      <c r="J180" s="76"/>
      <c r="K180" s="76"/>
      <c r="L180" s="76"/>
      <c r="M180" s="76"/>
      <c r="N180" s="76"/>
    </row>
    <row r="181" spans="2:14" ht="15" customHeight="1">
      <c r="B181" s="1" t="s">
        <v>1087</v>
      </c>
      <c r="C181" s="1" t="s">
        <v>1188</v>
      </c>
      <c r="D181" s="49">
        <f>CC!J26</f>
        <v>28.329125161562832</v>
      </c>
      <c r="E181" s="1" t="s">
        <v>237</v>
      </c>
      <c r="F181" s="65"/>
      <c r="G181" s="76"/>
      <c r="H181" s="76"/>
      <c r="I181" s="76"/>
      <c r="J181" s="76"/>
      <c r="K181" s="76"/>
      <c r="L181" s="76"/>
      <c r="M181" s="76"/>
      <c r="N181" s="76"/>
    </row>
    <row r="182" spans="2:14" ht="15" customHeight="1">
      <c r="B182" s="1" t="s">
        <v>1088</v>
      </c>
      <c r="C182" s="1" t="s">
        <v>432</v>
      </c>
      <c r="D182" s="49">
        <f>CC!E24</f>
        <v>98.617963506893403</v>
      </c>
      <c r="E182" s="1" t="s">
        <v>237</v>
      </c>
      <c r="F182" s="76"/>
      <c r="G182" s="76"/>
      <c r="H182" s="76"/>
      <c r="I182" s="76"/>
      <c r="J182" s="76"/>
      <c r="K182" s="76"/>
      <c r="L182" s="76"/>
      <c r="M182" s="76"/>
      <c r="N182" s="76"/>
    </row>
    <row r="183" spans="2:14" ht="15" customHeight="1">
      <c r="B183" s="1" t="s">
        <v>1089</v>
      </c>
      <c r="C183" s="1" t="s">
        <v>1090</v>
      </c>
      <c r="D183" s="49">
        <f>IF(ISNUMBER(F181),F181,D181)/D199</f>
        <v>14.164562580781416</v>
      </c>
      <c r="E183" s="1" t="s">
        <v>237</v>
      </c>
      <c r="F183" s="76"/>
      <c r="G183" s="76"/>
      <c r="H183" s="76"/>
      <c r="I183" s="76"/>
      <c r="J183" s="76"/>
      <c r="K183" s="76"/>
      <c r="L183" s="76"/>
      <c r="M183" s="76"/>
      <c r="N183" s="76"/>
    </row>
    <row r="184" spans="2:14" ht="15" customHeight="1">
      <c r="B184" s="20" t="s">
        <v>356</v>
      </c>
      <c r="C184" s="20" t="s">
        <v>132</v>
      </c>
      <c r="D184" s="20" t="s">
        <v>133</v>
      </c>
      <c r="E184" s="20" t="s">
        <v>431</v>
      </c>
      <c r="F184" s="76"/>
      <c r="G184" s="76"/>
      <c r="H184" s="76"/>
      <c r="I184" s="76"/>
      <c r="J184" s="76"/>
      <c r="K184" s="76"/>
      <c r="L184" s="76"/>
      <c r="M184" s="76"/>
      <c r="N184" s="76"/>
    </row>
    <row r="185" spans="2:14" ht="15" customHeight="1">
      <c r="B185" s="1" t="s">
        <v>1091</v>
      </c>
      <c r="C185" s="1" t="s">
        <v>415</v>
      </c>
      <c r="D185" s="49">
        <f>1.2*2*'Design Spec'!$D$95/'Design Spec'!$D$107</f>
        <v>60</v>
      </c>
      <c r="E185" s="1" t="s">
        <v>150</v>
      </c>
      <c r="F185" s="76"/>
      <c r="G185" s="76"/>
      <c r="H185" s="76"/>
      <c r="I185" s="76"/>
      <c r="J185" s="76"/>
      <c r="K185" s="76"/>
      <c r="L185" s="76"/>
      <c r="M185" s="76"/>
      <c r="N185" s="76"/>
    </row>
    <row r="186" spans="2:14" ht="14.25" customHeight="1">
      <c r="B186" s="1" t="s">
        <v>1092</v>
      </c>
      <c r="C186" s="1" t="s">
        <v>416</v>
      </c>
      <c r="D186" s="49">
        <f>1.2*D182</f>
        <v>118.34155620827208</v>
      </c>
      <c r="E186" s="1" t="s">
        <v>237</v>
      </c>
      <c r="F186" s="76"/>
      <c r="G186" s="76"/>
      <c r="H186" s="76"/>
      <c r="I186" s="76"/>
      <c r="J186" s="76"/>
      <c r="K186" s="76"/>
      <c r="L186" s="76"/>
      <c r="M186" s="76"/>
      <c r="N186" s="76"/>
    </row>
    <row r="187" spans="2:14" ht="14.25" customHeight="1">
      <c r="B187" s="1" t="s">
        <v>1093</v>
      </c>
      <c r="C187" s="1" t="s">
        <v>1094</v>
      </c>
      <c r="D187" s="49">
        <f>D182/D199</f>
        <v>49.308981753446702</v>
      </c>
      <c r="E187" s="1" t="s">
        <v>237</v>
      </c>
      <c r="F187" s="76"/>
      <c r="G187" s="76"/>
      <c r="H187" s="76"/>
      <c r="I187" s="76"/>
      <c r="J187" s="76"/>
      <c r="K187" s="76"/>
      <c r="L187" s="76"/>
      <c r="M187" s="76"/>
      <c r="N187" s="76"/>
    </row>
    <row r="188" spans="2:14" ht="15.75" customHeight="1">
      <c r="B188" s="20" t="s">
        <v>417</v>
      </c>
      <c r="C188" s="202" t="inlineStr">
        <is>
          <t xml:space="preserve">STL160N10F8</t>
        </is>
      </c>
      <c r="D188" s="202"/>
      <c r="E188" s="202"/>
      <c r="F188" s="76"/>
      <c r="G188" s="76"/>
      <c r="H188" s="76"/>
      <c r="I188" s="76"/>
      <c r="J188" s="76"/>
      <c r="K188" s="76"/>
      <c r="L188" s="76"/>
      <c r="M188" s="76"/>
      <c r="N188" s="76"/>
    </row>
    <row r="189" spans="2:14" ht="14.25" customHeight="1">
      <c r="B189" s="1" t="s">
        <v>1095</v>
      </c>
      <c r="C189" s="1" t="s">
        <v>1096</v>
      </c>
      <c r="D189" s="2">
        <v>2</v>
      </c>
      <c r="E189" s="26" t="s">
        <v>181</v>
      </c>
      <c r="F189" s="76"/>
    </row>
    <row r="190" spans="2:14" ht="15.75" customHeight="1">
      <c r="B190" s="20" t="s">
        <v>356</v>
      </c>
      <c r="C190" s="20" t="s">
        <v>132</v>
      </c>
      <c r="D190" s="20" t="s">
        <v>133</v>
      </c>
      <c r="E190" s="20" t="s">
        <v>134</v>
      </c>
    </row>
    <row r="191" spans="2:14" ht="14.25" customHeight="1">
      <c r="B191" s="1" t="s">
        <v>1097</v>
      </c>
      <c r="C191" s="1" t="s">
        <v>403</v>
      </c>
      <c r="D191" s="2">
        <v>0</v>
      </c>
      <c r="E191" s="1" t="s">
        <v>150</v>
      </c>
    </row>
    <row r="192" spans="2:5" ht="15" customHeight="1">
      <c r="B192" s="1" t="s">
        <v>1219</v>
      </c>
      <c r="C192" s="1" t="s">
        <v>433</v>
      </c>
      <c r="D192" s="2">
        <v>0.0032</v>
      </c>
      <c r="E192" s="26" t="s">
        <v>175</v>
      </c>
    </row>
    <row r="193" spans="2:5" ht="15" customHeight="1">
      <c r="B193" s="1" t="s">
        <v>423</v>
      </c>
      <c r="C193" s="1" t="s">
        <v>424</v>
      </c>
      <c r="D193" s="2">
        <v>25</v>
      </c>
      <c r="E193" s="26" t="s">
        <v>425</v>
      </c>
    </row>
    <row r="194" spans="2:5" ht="15">
      <c r="B194" s="1" t="s">
        <v>1217</v>
      </c>
      <c r="C194" s="1" t="s">
        <v>1098</v>
      </c>
      <c r="D194" s="2">
        <v>1.5</v>
      </c>
      <c r="E194" s="26" t="s">
        <v>181</v>
      </c>
    </row>
    <row r="195" spans="2:5" ht="15.75" customHeight="1">
      <c r="B195" s="20" t="s">
        <v>356</v>
      </c>
      <c r="C195" s="20" t="s">
        <v>132</v>
      </c>
      <c r="D195" s="20" t="s">
        <v>133</v>
      </c>
      <c r="E195" s="20" t="s">
        <v>134</v>
      </c>
    </row>
    <row r="196" spans="2:5" ht="14.25" customHeight="1">
      <c r="B196" s="1" t="s">
        <v>1084</v>
      </c>
      <c r="C196" s="1" t="s">
        <v>434</v>
      </c>
      <c r="D196" s="49">
        <f>IF(D189=2,0,0.5*D191*'Preliminary Calculation'!D7/D199)+D192*D194*D183^2</f>
        <v>1.4104628767272578</v>
      </c>
      <c r="E196" s="1" t="s">
        <v>161</v>
      </c>
    </row>
    <row r="197" spans="2:5" ht="15" customHeight="1">
      <c r="B197" s="1" t="s">
        <v>1099</v>
      </c>
      <c r="C197" s="1" t="s">
        <v>429</v>
      </c>
      <c r="D197" s="49">
        <f>(125-D193)/D196</f>
        <v>70.898711089818406</v>
      </c>
      <c r="E197" s="1" t="s">
        <v>430</v>
      </c>
    </row>
    <row r="198" spans="2:5" ht="14.25" customHeight="1">
      <c r="B198" s="1" t="s">
        <v>1100</v>
      </c>
      <c r="C198" s="1" t="s">
        <v>435</v>
      </c>
      <c r="D198" s="49">
        <f>D196*D199*2*'Design Spec'!$D$107</f>
        <v>5.6418515069090311</v>
      </c>
      <c r="E198" s="1" t="s">
        <v>161</v>
      </c>
    </row>
    <row r="199" spans="2:5" ht="15">
      <c r="B199" s="1" t="s">
        <v>1101</v>
      </c>
      <c r="C199" s="1" t="s">
        <v>1102</v>
      </c>
      <c r="D199" s="2">
        <v>2</v>
      </c>
      <c r="E199" s="26" t="s">
        <v>181</v>
      </c>
    </row>
    <row r="200" spans="2:5" ht="18" customHeight="1">
      <c r="B200" s="28" t="s">
        <v>436</v>
      </c>
      <c r="C200" s="28" t="s">
        <v>437</v>
      </c>
      <c r="D200" s="78"/>
      <c r="E200" s="79"/>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2"/>
      <c r="C215" s="82"/>
      <c r="D215" s="83"/>
      <c r="E215" s="84"/>
    </row>
  </sheetData>
  <mergeCells count="6">
    <mergeCell ref="C119:E119"/>
    <mergeCell ref="C113:E113"/>
    <mergeCell ref="C92:E92"/>
    <mergeCell ref="C50:E50"/>
    <mergeCell ref="C67:E67"/>
    <mergeCell ref="C188:E188"/>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Components'!$C$188</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R.o.src, or V.test / I.so</t>
        </is>
      </c>
      <c r="C81" s="87">
        <f>IF('Power Components'!$D$97&gt;0,'Power Components'!$D$97,'Power Components'!$D$96/'Power Components'!$D$94)</f>
      </c>
      <c r="D81" s="10" t="inlineStr">
        <is>
          <t xml:space="preserve">Ω</t>
        </is>
      </c>
    </row>
    <row r="82">
      <c r="B82" s="10" t="inlineStr">
        <is>
          <t xml:space="preserve">Driver sink resistance: R.o.sink, or V.test / I.si</t>
        </is>
      </c>
      <c r="C82" s="87">
        <f>IF('Power Components'!$D$98&gt;0,'Power Components'!$D$98,'Power Components'!$D$96/'Power Components'!$D$95)</f>
      </c>
      <c r="D82" s="10" t="inlineStr">
        <is>
          <t xml:space="preserve">Ω</t>
        </is>
      </c>
    </row>
    <row r="83">
      <c r="B83" s="10" t="inlineStr">
        <is>
          <t xml:space="preserve">V.drv (selected)</t>
        </is>
      </c>
      <c r="C83" s="87">
        <f>'Power Components'!$F$127</f>
      </c>
      <c r="D83" s="10" t="inlineStr">
        <is>
          <t xml:space="preserve">V</t>
        </is>
      </c>
    </row>
    <row r="84">
      <c r="B84" s="10" t="inlineStr">
        <is>
          <t xml:space="preserve">V.drv min: driver range, and 10 V at the high-side gate after D.boot</t>
        </is>
      </c>
      <c r="C84" s="87">
        <f>MAX('Power Components'!$D$99,10+'Power Components'!$D$115)</f>
      </c>
      <c r="D84" s="10" t="inlineStr">
        <is>
          <t xml:space="preserve">V</t>
        </is>
      </c>
    </row>
    <row r="85">
      <c r="B85" s="10" t="inlineStr">
        <is>
          <t xml:space="preserve">V.drv max: driver range and the MOSFET V.gs rating</t>
        </is>
      </c>
      <c r="C85" s="87">
        <f>MIN('Power Components'!$D$100,'Power Components'!$D$83)</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Components'!$F$136</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Components'!$D$121=0,'Power Components'!$F$133,IF('Power Components'!$F$133&gt;0,'Power Components'!$F$133*'Power Components'!$F$130/('Power Components'!$F$133+'Power Components'!$F$130),'Power Components'!$F$130))</f>
      </c>
      <c r="D89" s="10" t="inlineStr">
        <is>
          <t xml:space="preserve">Ω</t>
        </is>
      </c>
    </row>
    <row r="90">
      <c r="B90" s="10" t="inlineStr">
        <is>
          <t xml:space="preserve">Turn-off path offset (D.off)</t>
        </is>
      </c>
      <c r="C90" s="87">
        <f>IF(AND('Power Components'!$D$121&gt;0,'Power Components'!$F$133&gt;0),'Power Components'!$D$121*'Power Components'!$F$130/('Power Components'!$F$133+'Power Components'!$F$130),0)</f>
      </c>
      <c r="D90" s="10" t="inlineStr">
        <is>
          <t xml:space="preserve">V</t>
        </is>
      </c>
    </row>
    <row r="91">
      <c r="B91" s="10" t="inlineStr">
        <is>
          <t xml:space="preserve">τ.on = (R.so + R.on + R.gi) C.G</t>
        </is>
      </c>
      <c r="C91" s="87">
        <f>(C81+'Power Components'!$F$130+C88)*C87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Components'!$D$103)</f>
      </c>
      <c r="D93" s="10" t="inlineStr">
        <is>
          <t xml:space="preserve">ns</t>
        </is>
      </c>
    </row>
    <row r="94">
      <c r="B94" s="10" t="inlineStr">
        <is>
          <t xml:space="preserve">Pulse at f.Max: T/2 - t.D</t>
        </is>
      </c>
      <c r="C94" s="87">
        <f>10^6/(2*'Device Setting'!$D$27)-MAX('Design Spec'!$D$47,'Power Components'!$D$103)</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Components'!$F$130+C88)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Components'!$D$105*C83/1000</f>
      </c>
      <c r="D101" s="10" t="inlineStr">
        <is>
          <t xml:space="preserve">W</t>
        </is>
      </c>
    </row>
    <row r="102">
      <c r="B102" s="10" t="inlineStr">
        <is>
          <t xml:space="preserve">Driver power allowed: (Tj.max - Ta.drv) / Rth</t>
        </is>
      </c>
      <c r="C102" s="87">
        <f>('Power Components'!$D$107-'Power Components'!$D$112)/'Power Components'!$D$106</f>
      </c>
      <c r="D102" s="10" t="inlineStr">
        <is>
          <t xml:space="preserve">W</t>
        </is>
      </c>
    </row>
    <row r="103">
      <c r="B103" s="10" t="inlineStr">
        <is>
          <t xml:space="preserve">Driver gate-power budget: allowed - quiescent</t>
        </is>
      </c>
      <c r="C103" s="87">
        <f>C102-'Power Components'!$D$105*C83/1000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Components'!$D$94-C81-C88)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shorter pulse (start-up, f.Max)</t>
        </is>
      </c>
      <c r="C108" s="87">
        <f>IF(C83&gt;10,MIN(C93,C94)/(C87*LN(C83/(C83-10)))-C81-C88,0)</f>
      </c>
      <c r="D108" s="10" t="inlineStr">
        <is>
          <t xml:space="preserve">Ω</t>
        </is>
      </c>
    </row>
    <row r="109">
      <c r="B109" s="10" t="inlineStr">
        <is>
          <t xml:space="preserve">C.gs max: the gate still reaches 10 V within that pulse with the selected R.on</t>
        </is>
      </c>
      <c r="C109" s="87">
        <f>IF(C83&gt;10,MAX(0,MIN(C93,C94)/((C81+'Power Components'!$F$130+C88)*LN(C83/(C83-10)))-'Power Components'!$D$68*'Power Components'!$D$76),0)</f>
      </c>
      <c r="D109" s="10" t="inlineStr">
        <is>
          <t xml:space="preserve">nF</t>
        </is>
      </c>
    </row>
    <row r="110">
      <c r="B110" s="10" t="inlineStr">
        <is>
          <t xml:space="preserve">R.on recommended: the log middle of min .. max, E12 below</t>
        </is>
      </c>
      <c r="C110" s="87">
        <f>IF(ISNUMBER(C107),IF((SQRT(MAX(C107,1)*MAX(C108,1)))&lt;=0,0,10^INT(LOG10((SQRT(MAX(C107,1)*MAX(C108,1)))*1.000001))*LOOKUP((SQRT(MAX(C107,1)*MAX(C108,1)))*1.000001/10^INT(LOG10((SQRT(MAX(C107,1)*MAX(C108,1)))*1.000001)),{1,1.2,1.5,1.8,2.2,2.7,3.3,3.9,4.7,5.6,6.8,8.2})),C107)</f>
      </c>
      <c r="D110" s="10" t="inlineStr">
        <is>
          <t xml:space="preserve">Ω</t>
        </is>
      </c>
    </row>
    <row r="111">
      <c r="B111" s="10" t="inlineStr">
        <is>
          <t xml:space="preserve">Midpoint swing in run: c.HB V.bus,max / I.Lm.pk</t>
        </is>
      </c>
      <c r="C111" s="87">
        <f>'Design Spec'!$D$46*SQRT(2)*'Design Spec'!$D$14/'Res. Tank Design'!$D$73/1000</f>
      </c>
      <c r="D111" s="10" t="inlineStr">
        <is>
          <t xml:space="preserve">ns</t>
        </is>
      </c>
    </row>
    <row r="112">
      <c r="B112" s="10" t="inlineStr">
        <is>
          <t xml:space="preserve">Midpoint swing at start-up: c.HB V.bus,FB / I.su</t>
        </is>
      </c>
      <c r="C112" s="87">
        <f>'Design Spec'!$D$46*C80/'Res. Tank Design'!$D$84/1000</f>
      </c>
      <c r="D112" s="10" t="inlineStr">
        <is>
          <t xml:space="preserve">ns</t>
        </is>
      </c>
    </row>
    <row r="113">
      <c r="B113" s="10" t="inlineStr">
        <is>
          <t xml:space="preserve">Miller current into an off gate during the faster swing</t>
        </is>
      </c>
      <c r="C113" s="87">
        <f>'Power Components'!$D$68*'Power Components'!$D$82/MIN(C111,C112)</f>
      </c>
      <c r="D113" s="10" t="inlineStr">
        <is>
          <t xml:space="preserve">A</t>
        </is>
      </c>
    </row>
    <row r="114">
      <c r="B114" s="10" t="inlineStr">
        <is>
          <t xml:space="preserve">Gate kick, resistive estimate: i.M x sink path</t>
        </is>
      </c>
      <c r="C114" s="87">
        <f>C113*(C82+C89+C88)</f>
      </c>
      <c r="D114" s="10" t="inlineStr">
        <is>
          <t xml:space="preserve">V</t>
        </is>
      </c>
    </row>
    <row r="115">
      <c r="B115" s="10" t="inlineStr">
        <is>
          <t xml:space="preserve">Gate kick, capacitive bound: Q.gd / (C.gs + C.gs option)</t>
        </is>
      </c>
      <c r="C115" s="87">
        <f>'Power Components'!$D$68*'Power Components'!$D$82/('Power Components'!$D$68*'Power Components'!$D$77+'Power Components'!$F$136)</f>
      </c>
      <c r="D115" s="10" t="inlineStr">
        <is>
          <t xml:space="preserve">V</t>
        </is>
      </c>
    </row>
    <row r="116">
      <c r="B116" s="10" t="inlineStr">
        <is>
          <t xml:space="preserve">k.Miller = V.th min / the smaller kick</t>
        </is>
      </c>
      <c r="C116" s="87">
        <f>'Power Components'!$D$81/MIN(C114,C115)</f>
      </c>
      <c r="D116" s="10" t="inlineStr">
        <is>
          <t xml:space="preserve">-</t>
        </is>
      </c>
    </row>
    <row r="117">
      <c r="B117" s="10" t="inlineStr">
        <is>
          <t xml:space="preserve">C.gs needed (0 if the gate holds without it)</t>
        </is>
      </c>
      <c r="C117" s="87">
        <f>IF(MIN(C114,C115)&lt;='Power Components'!$D$81,0,MAX(0,'Power Components'!$D$68*('Power Components'!$D$82/'Power Components'!$D$81-'Power Components'!$D$77)))</f>
      </c>
      <c r="D117" s="10" t="inlineStr">
        <is>
          <t xml:space="preserve">nF</t>
        </is>
      </c>
    </row>
    <row r="118">
      <c r="B118" s="10" t="inlineStr">
        <is>
          <t xml:space="preserve">C.gs suggested: E6 above the need</t>
        </is>
      </c>
      <c r="C118" s="87">
        <f>IF(C117=0,0,IF((C117)&lt;=0,0,-10^INT(LOG10((C117)*0.999999))*LOOKUP(-(C117)*0.999999/10^INT(LOG10((C117)*0.999999)),{-10,-6.8,-4.7,-3.3,-2.2,-1.5,-1})))</f>
      </c>
      <c r="D118" s="10" t="inlineStr">
        <is>
          <t xml:space="preserve">nF</t>
        </is>
      </c>
    </row>
    <row r="119">
      <c r="B119" s="10" t="inlineStr">
        <is>
          <t xml:space="preserve">t.on: IC edge -&gt; V.th</t>
        </is>
      </c>
      <c r="C119" s="87">
        <f>'Power Components'!$D$101+C91*LN(C83/(C83-'Power Components'!$D$80))</f>
      </c>
      <c r="D119" s="10" t="inlineStr">
        <is>
          <t xml:space="preserve">ns</t>
        </is>
      </c>
    </row>
    <row r="120">
      <c r="B120" s="10" t="inlineStr">
        <is>
          <t xml:space="preserve">IC edge -&gt; plateau on the way up</t>
        </is>
      </c>
      <c r="C120" s="87">
        <f>'Power Components'!$D$101+C91*LN(C83/(C83-'Power Components'!$D$79))</f>
      </c>
      <c r="D120" s="10" t="inlineStr">
        <is>
          <t xml:space="preserve">ns</t>
        </is>
      </c>
    </row>
    <row r="121">
      <c r="B121" s="10" t="inlineStr">
        <is>
          <t xml:space="preserve">t.off: IC edge -&gt; below V.th min</t>
        </is>
      </c>
      <c r="C121" s="87">
        <f>IF('Power Components'!$D$81&gt;C90,'Power Components'!$D$101+C92*LN((C83-C90)/('Power Components'!$D$81-C90)),"never")</f>
      </c>
      <c r="D121" s="10" t="inlineStr">
        <is>
          <t xml:space="preserve">ns</t>
        </is>
      </c>
    </row>
    <row r="122">
      <c r="B122" s="10" t="inlineStr">
        <is>
          <t xml:space="preserve">IC edge -&gt; plateau on the way down</t>
        </is>
      </c>
      <c r="C122" s="87">
        <f>'Power Components'!$D$101+C92*LN((C83-C90)/('Power Components'!$D$79-C90))</f>
      </c>
      <c r="D122" s="10" t="inlineStr">
        <is>
          <t xml:space="preserve">ns</t>
        </is>
      </c>
    </row>
    <row r="123">
      <c r="B123" s="10" t="inlineStr">
        <is>
          <t xml:space="preserve">t.D.need = (t.off.pl - t.pd) + swing - (t.on - t.pd) + MT</t>
        </is>
      </c>
      <c r="C123" s="87">
        <f>C122-C119+C111+'Power Components'!$D$102</f>
      </c>
      <c r="D123" s="10" t="inlineStr">
        <is>
          <t xml:space="preserve">ns</t>
        </is>
      </c>
    </row>
    <row r="124">
      <c r="B124" s="10" t="inlineStr">
        <is>
          <t xml:space="preserve">t.D.max = T/4 at f.Max + (t.off.pl - t.on.pl) - MT: on at the plateau before the reversal</t>
        </is>
      </c>
      <c r="C124" s="87">
        <f>10^6/(4*'Device Setting'!$D$27)+C122-C120-'Power Components'!$D$102</f>
      </c>
      <c r="D124" s="10" t="inlineStr">
        <is>
          <t xml:space="preserve">ns</t>
        </is>
      </c>
    </row>
    <row r="125">
      <c r="B125" s="10" t="inlineStr">
        <is>
          <t xml:space="preserve">k.tD = min(max(420, t.DT) / need, t.D.max / max(need, t.DT))</t>
        </is>
      </c>
      <c r="C125" s="87">
        <f>MIN(MAX(420,'Power Components'!$D$103)/C123,C124/MAX(C123,'Power Components'!$D$103))</f>
      </c>
      <c r="D125" s="10" t="inlineStr">
        <is>
          <t xml:space="preserve">-</t>
        </is>
      </c>
    </row>
    <row r="126">
      <c r="B126" s="10" t="inlineStr">
        <is>
          <t xml:space="preserve">Start-up edge current, HB on V.bus.max / 2</t>
        </is>
      </c>
      <c r="C126" s="87">
        <f>(C86/2)/'Res. Tank Design'!$D$52*TAN(PI()*'Res. Tank Design'!$D$55/(2*'Device Setting'!$D$29))</f>
      </c>
      <c r="D126" s="10" t="inlineStr">
        <is>
          <t xml:space="preserve">A</t>
        </is>
      </c>
    </row>
    <row r="127">
      <c r="B127" s="10" t="inlineStr">
        <is>
          <t xml:space="preserve">Midpoint swing at start-up, HB: c.HB V.bus.max / I.su.HB</t>
        </is>
      </c>
      <c r="C127" s="87">
        <f>'Design Spec'!$D$46*C86/C126/1000</f>
      </c>
      <c r="D127" s="10" t="inlineStr">
        <is>
          <t xml:space="preserve">ns</t>
        </is>
      </c>
    </row>
    <row r="128">
      <c r="B128" s="10" t="inlineStr">
        <is>
          <t xml:space="preserve">Turn-off delay to the plateau from V.g.su (no t.pd)</t>
        </is>
      </c>
      <c r="C128" s="87">
        <f>C92*LN((C95-C90)/('Power Components'!$D$79-C90))</f>
      </c>
      <c r="D128" s="10" t="inlineStr">
        <is>
          <t xml:space="preserve">ns</t>
        </is>
      </c>
    </row>
    <row r="129">
      <c r="B129" s="10" t="inlineStr">
        <is>
          <t xml:space="preserve">t.D.su.min = t.off.su + max(T.T.su FB, HB) - (t.on - t.pd) + MT</t>
        </is>
      </c>
      <c r="C129" s="87">
        <f>C128+MAX(C112,C127)-(C119-'Power Components'!$D$101)+'Power Components'!$D$102</f>
      </c>
      <c r="D129" s="10" t="inlineStr">
        <is>
          <t xml:space="preserve">ns</t>
        </is>
      </c>
    </row>
    <row r="130">
      <c r="B130" s="10" t="inlineStr">
        <is>
          <t xml:space="preserve">t.D.su.max = t.off.su + T/4 at f.SU - (t.on.pl - t.pd) - MT</t>
        </is>
      </c>
      <c r="C130" s="87">
        <f>C128+10^6/(4*'Device Setting'!$D$29)-(C120-'Power Components'!$D$101)-'Power Components'!$D$102</f>
      </c>
      <c r="D130" s="10" t="inlineStr">
        <is>
          <t xml:space="preserve">ns</t>
        </is>
      </c>
    </row>
    <row r="131">
      <c r="B131" s="10" t="inlineStr">
        <is>
          <t xml:space="preserve">Start-up dead time in force: max(IC 420 ns assumed, driver t.DT)</t>
        </is>
      </c>
      <c r="C131" s="87">
        <f>MAX(C78,'Power Components'!$D$103)</f>
      </c>
      <c r="D131" s="10" t="inlineStr">
        <is>
          <t xml:space="preserve">ns</t>
        </is>
      </c>
    </row>
    <row r="132">
      <c r="B132" s="10" t="inlineStr">
        <is>
          <t xml:space="preserve">k.tD.su = min(t.D.su / t.D.su.min, t.D.su.max / t.D.su)</t>
        </is>
      </c>
      <c r="C132" s="87">
        <f>MIN(C131/C129,C130/C131)</f>
      </c>
      <c r="D132" s="10" t="inlineStr">
        <is>
          <t xml:space="preserve">-</t>
        </is>
      </c>
    </row>
    <row r="133">
      <c r="B133" s="10" t="inlineStr">
        <is>
          <t xml:space="preserve">Midpoint dv/dt at start-up: max(I.su FB, HB) / c.HB</t>
        </is>
      </c>
      <c r="C133" s="87">
        <f>MAX('Res. Tank Design'!$D$84,C126)/'Design Spec'!$D$46*1000</f>
      </c>
      <c r="D133" s="10" t="inlineStr">
        <is>
          <t xml:space="preserve">V/ns</t>
        </is>
      </c>
    </row>
    <row r="134">
      <c r="B134" s="10" t="inlineStr">
        <is>
          <t xml:space="preserve">k.drv = min(dV/dt.max / dv/dt.su, V.hs.max / V.bus.max, 4 V / V.IH.max)</t>
        </is>
      </c>
      <c r="C134" s="87">
        <f>MIN('Power Components'!$D$109/C133,'Power Components'!$D$110/C86,4/'Power Components'!$D$111)</f>
      </c>
      <c r="D134" s="10" t="inlineStr">
        <is>
          <t xml:space="preserve">-</t>
        </is>
      </c>
    </row>
    <row r="135">
      <c r="B135" s="10" t="inlineStr">
        <is>
          <t xml:space="preserve">Turn-off path that holds the gate below V.th min against the Miller current</t>
        </is>
      </c>
      <c r="C135" s="87">
        <f>'Power Components'!$D$81/C113-C82-C88</f>
      </c>
      <c r="D135" s="10" t="inlineStr">
        <is>
          <t xml:space="preserve">Ω</t>
        </is>
      </c>
    </row>
    <row r="136">
      <c r="B136" s="10" t="inlineStr">
        <is>
          <t xml:space="preserve">Turn-off path that has the gate below V.th min before the other side reaches V.th min (t.D + its delay)</t>
        </is>
      </c>
      <c r="C136" s="87">
        <f>(MAX('Design Spec'!$D$47,'Power Components'!$D$103)+C91*LN(C83/(C83-'Power Components'!$D$81)))/(LN((C83-C90)/('Power Components'!$D$81-C90))*C87)-C82-C88</f>
      </c>
      <c r="D136" s="10" t="inlineStr">
        <is>
          <t xml:space="preserve">Ω</t>
        </is>
      </c>
    </row>
    <row r="137">
      <c r="B137" s="10" t="inlineStr">
        <is>
          <t xml:space="preserve">Turn-off path that lets the channel go (V.pl -&gt; V.th) within the run swing T.T.run</t>
        </is>
      </c>
      <c r="C137" s="87">
        <f>C111/(LN(('Power Components'!$D$79-C90)/('Power Components'!$D$80-C90))*C87)-C82-C88</f>
      </c>
      <c r="D137" s="10" t="inlineStr">
        <is>
          <t xml:space="preserve">Ω</t>
        </is>
      </c>
    </row>
    <row r="138">
      <c r="B138" s="10" t="inlineStr">
        <is>
          <t xml:space="preserve">Turn-off path max: overlap and soft turn-off, and Miller unless C.gs alone holds</t>
        </is>
      </c>
      <c r="C138" s="87">
        <f>MIN(C136,C137,IF(C115&lt;='Power Components'!$D$81,1E+9,C135))</f>
      </c>
      <c r="D138" s="10" t="inlineStr">
        <is>
          <t xml:space="preserve">Ω</t>
        </is>
      </c>
    </row>
    <row r="139">
      <c r="B139" s="10" t="inlineStr">
        <is>
          <t xml:space="preserve">R.off that brings the path to half its max (in parallel with R.on unless V.F = 0)</t>
        </is>
      </c>
      <c r="C139" s="87">
        <f>IF('Power Components'!$D$121=0,C138/2,IF(C138/2&gt;='Power Components'!$F$130,1E+9,1/(2/C138-1/'Power Components'!$F$130)))</f>
      </c>
      <c r="D139" s="10" t="inlineStr">
        <is>
          <t xml:space="preserve">Ω</t>
        </is>
      </c>
    </row>
    <row r="140">
      <c r="B140" s="10" t="inlineStr">
        <is>
          <t xml:space="preserve">R.off suggested: GOFF - half the max; with D.off - min(R.on / 2, that need), E12 below</t>
        </is>
      </c>
      <c r="C140" s="87">
        <f>IF(C138&lt;=0,0,IF((IF('Power Components'!$D$121=0,C139,MIN('Power Components'!$F$130/2,C139)))&lt;=0,0,10^INT(LOG10((IF('Power Components'!$D$121=0,C139,MIN('Power Components'!$F$130/2,C139)))*1.000001))*LOOKUP((IF('Power Components'!$D$121=0,C139,MIN('Power Components'!$F$130/2,C139)))*1.000001/10^INT(LOG10((IF('Power Components'!$D$121=0,C139,MIN('Power Components'!$F$130/2,C139)))*1.000001)),{1,1.2,1.5,1.8,2.2,2.7,3.3,3.9,4.7,5.6,6.8,8.2})))</f>
      </c>
      <c r="D140" s="10" t="inlineStr">
        <is>
          <t xml:space="preserve">Ω</t>
        </is>
      </c>
    </row>
    <row r="141">
      <c r="B141" s="10" t="inlineStr">
        <is>
          <t xml:space="preserve">Peak gate current, turn-on: V.drv / (R.so + R.on + R.gi)</t>
        </is>
      </c>
      <c r="C141" s="87">
        <f>C83/(C81+'Power Components'!$F$130+C88)</f>
      </c>
      <c r="D141" s="10" t="inlineStr">
        <is>
          <t xml:space="preserve">A</t>
        </is>
      </c>
    </row>
    <row r="142">
      <c r="B142" s="10" t="inlineStr">
        <is>
          <t xml:space="preserve">Peak gate current, turn-off: (V.drv - V.off.eff) / (R.si + R.off.eff + R.gi)</t>
        </is>
      </c>
      <c r="C142" s="87">
        <f>(C83-C90)/(C82+C89+C88)</f>
      </c>
      <c r="D142" s="10" t="inlineStr">
        <is>
          <t xml:space="preserve">A</t>
        </is>
      </c>
    </row>
    <row r="143">
      <c r="B143" s="10" t="inlineStr">
        <is>
          <t xml:space="preserve">k.IG = min(I.so / I.on, I.si / I.off)</t>
        </is>
      </c>
      <c r="C143" s="87">
        <f>MIN('Power Components'!$D$94/C141,'Power Components'!$D$95/C142)</f>
      </c>
      <c r="D143" s="10" t="inlineStr">
        <is>
          <t xml:space="preserve">-</t>
        </is>
      </c>
    </row>
    <row r="144">
      <c r="B144" s="10" t="inlineStr">
        <is>
          <t xml:space="preserve">D.off peak current: (V.drv - V.F) / (R.si + R.off + R.gi), upper bound</t>
        </is>
      </c>
      <c r="C144" s="87">
        <f>IF('Power Components'!$D$121=0,0,(C83-'Power Components'!$D$121)/(C82+'Power Components'!$F$133+C88))</f>
      </c>
      <c r="D144" s="10" t="inlineStr">
        <is>
          <t xml:space="preserve">A</t>
        </is>
      </c>
    </row>
    <row r="145">
      <c r="B145" s="10" t="inlineStr">
        <is>
          <t xml:space="preserve">D.off average current at f.Max: C.G V.g f x R.on / (R.on + R.off)</t>
        </is>
      </c>
      <c r="C145" s="87">
        <f>IF('Power Components'!$D$121=0,0,C87*C96*'Device Setting'!$D$27*'Power Components'!$F$130/('Power Components'!$F$130+'Power Components'!$F$133)/1000)</f>
      </c>
      <c r="D145" s="10" t="inlineStr">
        <is>
          <t xml:space="preserve">mA</t>
        </is>
      </c>
    </row>
    <row r="146">
      <c r="B146" s="10" t="inlineStr">
        <is>
          <t xml:space="preserve">k.D.off = min(I.FSM / I.off.pk, I.F / I.off.avg)</t>
        </is>
      </c>
      <c r="C146" s="87">
        <f>IF('Power Components'!$D$121=0,"-",MIN('Power Components'!$D$123/C144,'Power Components'!$D$122*1000/C145))</f>
      </c>
      <c r="D146" s="10" t="inlineStr">
        <is>
          <t xml:space="preserve">-</t>
        </is>
      </c>
    </row>
    <row r="147">
      <c r="B147" s="10" t="inlineStr">
        <is>
          <t xml:space="preserve">R.off min: sink current and D.off surge: (V.drv - V.F) / min(I.si, I.FSM) - R.si - R.gi</t>
        </is>
      </c>
      <c r="C147" s="87">
        <f>MAX(0,(C83-'Power Components'!$D$121)/IF('Power Components'!$D$121=0,'Power Components'!$D$95,MIN('Power Components'!$D$95,'Power Components'!$D$123))-C82-C88)</f>
      </c>
      <c r="D147" s="10" t="inlineStr">
        <is>
          <t xml:space="preserve">Ω</t>
        </is>
      </c>
    </row>
    <row r="148">
      <c r="B148" s="10" t="inlineStr">
        <is>
          <t xml:space="preserve">C.boot min: 10 x C.G</t>
        </is>
      </c>
      <c r="C148" s="87">
        <f>10*C87</f>
      </c>
      <c r="D148" s="10" t="inlineStr">
        <is>
          <t xml:space="preserve">nF</t>
        </is>
      </c>
    </row>
    <row r="149">
      <c r="B149" s="10" t="inlineStr">
        <is>
          <t xml:space="preserve">C.boot max: the first LOUT pulse still charges it to V.bo.min (with R.boot)</t>
        </is>
      </c>
      <c r="C149" s="87">
        <f>IF(C83-'Power Components'!$D$115&gt;'Power Components'!$D$108,C93/(MAX('Power Components'!$F$142,0.5)*LN((C83-'Power Components'!$D$115)/(C83-'Power Components'!$D$115-'Power Components'!$D$108))),0)</f>
      </c>
      <c r="D149" s="10" t="inlineStr">
        <is>
          <t xml:space="preserve">nF</t>
        </is>
      </c>
    </row>
    <row r="150">
      <c r="B150" s="10" t="inlineStr">
        <is>
          <t xml:space="preserve">C.boot recommended: E6 above the min</t>
        </is>
      </c>
      <c r="C150" s="87">
        <f>IF((C148)&lt;=0,0,-10^INT(LOG10((C148)*0.999999))*LOOKUP(-(C148)*0.999999/10^INT(LOG10((C148)*0.999999)),{-10,-6.8,-4.7,-3.3,-2.2,-1.5,-1}))</f>
      </c>
      <c r="D150" s="10" t="inlineStr">
        <is>
          <t xml:space="preserve">nF</t>
        </is>
      </c>
    </row>
    <row r="151">
      <c r="B151" s="10" t="inlineStr">
        <is>
          <t xml:space="preserve">τ.boot (a diode alone taken as 0.5 Ω)</t>
        </is>
      </c>
      <c r="C151" s="87">
        <f>MAX('Power Components'!$F$142,0.5)*'Power Components'!$F$139</f>
      </c>
      <c r="D151" s="10" t="inlineStr">
        <is>
          <t xml:space="preserve">ns</t>
        </is>
      </c>
    </row>
    <row r="152">
      <c r="B152" s="10" t="inlineStr">
        <is>
          <t xml:space="preserve">R.boot max: the first LOUT pulse reaches V.bo.min (with C.boot)</t>
        </is>
      </c>
      <c r="C152" s="87">
        <f>IF(C83-'Power Components'!$D$115&gt;'Power Components'!$D$108,C93/('Power Components'!$F$139*LN((C83-'Power Components'!$D$115)/(C83-'Power Components'!$D$115-'Power Components'!$D$108))),"V.drv too low")</f>
      </c>
      <c r="D152" s="10" t="inlineStr">
        <is>
          <t xml:space="preserve">Ω</t>
        </is>
      </c>
    </row>
    <row r="153">
      <c r="B153" s="10" t="inlineStr">
        <is>
          <t xml:space="preserve">R.boot suggested: half the max, E12 below</t>
        </is>
      </c>
      <c r="C153" s="87">
        <f>IF(ISNUMBER(C152),IF((C152/2)&lt;=0,0,10^INT(LOG10((C152/2)*1.000001))*LOOKUP((C152/2)*1.000001/10^INT(LOG10((C152/2)*1.000001)),{1,1.2,1.5,1.8,2.2,2.7,3.3,3.9,4.7,5.6,6.8,8.2})),0)</f>
      </c>
      <c r="D153" s="10" t="inlineStr">
        <is>
          <t xml:space="preserve">Ω</t>
        </is>
      </c>
    </row>
    <row r="154">
      <c r="B154" s="10" t="inlineStr">
        <is>
          <t xml:space="preserve">R.boot min: D.boot surge into an empty C.boot: (V.drv - V.F.boot) / I.FSM</t>
        </is>
      </c>
      <c r="C154" s="87">
        <f>MAX(0,(C83-'Power Components'!$D$115)/'Power Components'!$D$118)</f>
      </c>
      <c r="D154" s="10" t="inlineStr">
        <is>
          <t xml:space="preserve">Ω</t>
        </is>
      </c>
    </row>
    <row r="155">
      <c r="B155" s="10" t="inlineStr">
        <is>
          <t xml:space="preserve">D.boot peak current into an empty C.boot</t>
        </is>
      </c>
      <c r="C155" s="87">
        <f>(C83-'Power Components'!$D$115)/MAX('Power Components'!$F$142,0.5)</f>
      </c>
      <c r="D155" s="10" t="inlineStr">
        <is>
          <t xml:space="preserve">A</t>
        </is>
      </c>
    </row>
    <row r="156">
      <c r="B156" s="10" t="inlineStr">
        <is>
          <t xml:space="preserve">D.boot average current at f.Max: C.G V.g f + I.QBO</t>
        </is>
      </c>
      <c r="C156" s="87">
        <f>(C87*C96*'Device Setting'!$D$27/1000)+0.12</f>
      </c>
      <c r="D156" s="10" t="inlineStr">
        <is>
          <t xml:space="preserve">mA</t>
        </is>
      </c>
    </row>
    <row r="157">
      <c r="B157" s="10" t="inlineStr">
        <is>
          <t xml:space="preserve">D.boot reverse voltage: V.bus.max + V.drv</t>
        </is>
      </c>
      <c r="C157" s="87">
        <f>C86+C83</f>
      </c>
      <c r="D157" s="10" t="inlineStr">
        <is>
          <t xml:space="preserve">V</t>
        </is>
      </c>
    </row>
    <row r="158">
      <c r="B158" s="10" t="inlineStr">
        <is>
          <t xml:space="preserve">k.D.boot = min(V.RRM / need, I.FSM / I.boot.pk, I.F / I.boot.avg)</t>
        </is>
      </c>
      <c r="C158" s="87">
        <f>MIN('Power Components'!$D$116/C157,'Power Components'!$D$118/C155,'Power Components'!$D$117*1000/C156)</f>
      </c>
      <c r="D158" s="10" t="inlineStr">
        <is>
          <t xml:space="preserve">-</t>
        </is>
      </c>
    </row>
    <row r="159">
      <c r="B159" s="10" t="inlineStr">
        <is>
          <t xml:space="preserve">V.BS after the first LOUT pulse</t>
        </is>
      </c>
      <c r="C159" s="87">
        <f>(C83-'Power Components'!$D$115)*(1-EXP(-C93/C151))</f>
      </c>
      <c r="D159" s="10" t="inlineStr">
        <is>
          <t xml:space="preserve">V</t>
        </is>
      </c>
    </row>
    <row r="160">
      <c r="B160" s="10" t="inlineStr">
        <is>
          <t xml:space="preserve">V.BS drop per high-side pulse at f.SU (gate charge + floating quiescent 120 uA)</t>
        </is>
      </c>
      <c r="C160" s="87">
        <f>C87*C95/'Power Components'!$F$139+0.00012*C93/'Power Components'!$F$139</f>
      </c>
      <c r="D160" s="10" t="inlineStr">
        <is>
          <t xml:space="preserve">V</t>
        </is>
      </c>
    </row>
    <row r="161">
      <c r="B161" s="10" t="inlineStr">
        <is>
          <t xml:space="preserve">V.BS lowest, steady at f.SU</t>
        </is>
      </c>
      <c r="C161" s="87">
        <f>C83-'Power Components'!$D$115-C160*EXP(-C93/C151)/(1-EXP(-C93/C151))-C160</f>
      </c>
      <c r="D161" s="10" t="inlineStr">
        <is>
          <t xml:space="preserve">V</t>
        </is>
      </c>
    </row>
    <row r="162">
      <c r="B162" s="10" t="inlineStr">
        <is>
          <t xml:space="preserve">P.Ron at f.Max</t>
        </is>
      </c>
      <c r="C162" s="87">
        <f>(C97*'Power Components'!$F$130/(C81+'Power Components'!$F$130+C88)+IF('Power Components'!$D$121=0,0,C98*C89/(C82+C89+C88)*C89/'Power Components'!$F$130))*'Device Setting'!$D$27*10^-6</f>
      </c>
      <c r="D162" s="10" t="inlineStr">
        <is>
          <t xml:space="preserve">W</t>
        </is>
      </c>
    </row>
    <row r="163">
      <c r="B163" s="10" t="inlineStr">
        <is>
          <t xml:space="preserve">P.Roff at f.Max</t>
        </is>
      </c>
      <c r="C163" s="87">
        <f>IF('Power Components'!$F$133&gt;0,C98*C89/(C82+C89+C88)*IF('Power Components'!$D$121=0,1,C89/'Power Components'!$F$133)*'Device Setting'!$D$27*10^-6,0)</f>
      </c>
      <c r="D163" s="10" t="inlineStr">
        <is>
          <t xml:space="preserve">W</t>
        </is>
      </c>
    </row>
    <row r="164">
      <c r="B164" s="10" t="inlineStr">
        <is>
          <t xml:space="preserve">Driver junction at f.Max and Ta.drv</t>
        </is>
      </c>
      <c r="C164" s="87">
        <f>'Power Components'!$D$112+C101*'Power Components'!$D$106</f>
      </c>
      <c r="D16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