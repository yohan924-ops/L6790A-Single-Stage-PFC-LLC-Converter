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<sst xmlns="http://schemas.openxmlformats.org/spreadsheetml/2006/main" count="2127" uniqueCount="1232">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</sst>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4" Type="http://schemas.openxmlformats.org/officeDocument/2006/relationships/image" Target="../media/image12.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156</xdr:row>
      <xdr:rowOff>171360</xdr:rowOff>
    </xdr:from>
    <xdr:to>
      <xdr:col>1</xdr:col>
      <xdr:colOff>2876760</xdr:colOff>
      <xdr:row>170</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156</xdr:row>
      <xdr:rowOff>56160</xdr:rowOff>
    </xdr:from>
    <xdr:to>
      <xdr:col>4</xdr:col>
      <xdr:colOff>303840</xdr:colOff>
      <xdr:row>170</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oneCellAnchor>
    <xdr:from>
      <xdr:col>6</xdr:col>
      <xdr:colOff>76200</xdr:colOff>
      <xdr:row>103</xdr:row>
      <xdr:rowOff>0</xdr:rowOff>
    </xdr:from>
    <xdr:ext cx="7239000" cy="4262966"/>
    <xdr:pic>
      <xdr:nvPicPr>
        <xdr:cNvPr id="15" name="Gate drive schematic"/>
        <xdr:cNvPicPr>
          <a:picLocks noChangeAspect="1"/>
        </xdr:cNvPicPr>
      </xdr:nvPicPr>
      <xdr:blipFill>
        <a:blip xmlns:r="http://schemas.openxmlformats.org/officeDocument/2006/relationships" r:embed="rId4"/>
        <a:stretch>
          <a:fillRect/>
        </a:stretch>
      </xdr:blipFill>
      <xdr:spPr>
        <a:xfrm>
          <a:off x="0" y="0"/>
          <a:ext cx="7239000" cy="4262966"/>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Lr14 copy, 2026-09-26 (user): tank L.r 14 uH / L.m 25.46 uH / C.r 100 nF. lambda stays 0.55, so n is unchanged; f.r falls to 134.5 kHz. The example transformer (E 60/22/16) then fills its window exactly.</t>
        </is>
      </c>
    </row>
    <row r="119">
      <c r="B119" s="8" t="inlineStr">
        <is>
          <t xml:space="preserve">Res. Tank Design</t>
        </is>
      </c>
      <c r="C119" s="8" t="inlineStr">
        <is>
          <t xml:space="preserve">F44</t>
        </is>
      </c>
      <c r="D119" s="8" t="inlineStr">
        <is>
          <t xml:space="preserve">11</t>
        </is>
      </c>
      <c r="E119" s="8" t="inlineStr">
        <is>
          <t xml:space="preserve">14</t>
        </is>
      </c>
      <c r="F119" s="8" t="inlineStr">
        <is>
          <t xml:space="preserve">L.r leakage (resonant) inductance, uH</t>
        </is>
      </c>
    </row>
    <row r="120">
      <c r="B120" s="8" t="inlineStr">
        <is>
          <t xml:space="preserve">Res. Tank Design</t>
        </is>
      </c>
      <c r="C120" s="8" t="inlineStr">
        <is>
          <t xml:space="preserve">F45</t>
        </is>
      </c>
      <c r="D120" s="8" t="inlineStr">
        <is>
          <t xml:space="preserve">20</t>
        </is>
      </c>
      <c r="E120" s="8" t="inlineStr">
        <is>
          <t xml:space="preserve">25.46</t>
        </is>
      </c>
      <c r="F120" s="8" t="inlineStr">
        <is>
          <t xml:space="preserve">L.m magnetizing inductance, uH</t>
        </is>
      </c>
    </row>
    <row r="122">
      <c r="F122" s="8" t="inlineStr">
        <is>
          <t xml:space="preserve">Lr14 copy, 2026-09-27 (user): the transformer is TDK ETD 54/28/19 on its catalogue former B66396W with a 2.0 mm partition and nothing left empty; its leakage, 23.4 uH, is the tank L.r. lambda stays 0.55 (L.m 42.55 uH), C.r 200 nF keeps Q near 0.8; f.r 73.6 kHz, f.o 43.8 kHz, so R.T moves to 23.2 kOhm (f.Min 44.8 kHz).</t>
        </is>
      </c>
    </row>
    <row r="123">
      <c r="B123" s="8" t="inlineStr">
        <is>
          <t xml:space="preserve">Res. Tank Design</t>
        </is>
      </c>
      <c r="C123" s="8" t="inlineStr">
        <is>
          <t xml:space="preserve">F43</t>
        </is>
      </c>
      <c r="D123" s="8" t="inlineStr">
        <is>
          <t xml:space="preserve">100</t>
        </is>
      </c>
      <c r="E123" s="8" t="inlineStr">
        <is>
          <t xml:space="preserve">200</t>
        </is>
      </c>
      <c r="F123" s="8" t="inlineStr">
        <is>
          <t xml:space="preserve">C.r resonant capacitor, nF</t>
        </is>
      </c>
    </row>
    <row r="124">
      <c r="B124" s="8" t="inlineStr">
        <is>
          <t xml:space="preserve">Res. Tank Design</t>
        </is>
      </c>
      <c r="C124" s="8" t="inlineStr">
        <is>
          <t xml:space="preserve">F44</t>
        </is>
      </c>
      <c r="D124" s="8" t="inlineStr">
        <is>
          <t xml:space="preserve">14</t>
        </is>
      </c>
      <c r="E124" s="8" t="inlineStr">
        <is>
          <t xml:space="preserve">23.4</t>
        </is>
      </c>
      <c r="F124" s="8" t="inlineStr">
        <is>
          <t xml:space="preserve">L.r leakage (resonant) inductance, uH</t>
        </is>
      </c>
    </row>
    <row r="125">
      <c r="B125" s="8" t="inlineStr">
        <is>
          <t xml:space="preserve">Res. Tank Design</t>
        </is>
      </c>
      <c r="C125" s="8" t="inlineStr">
        <is>
          <t xml:space="preserve">F45</t>
        </is>
      </c>
      <c r="D125" s="8" t="inlineStr">
        <is>
          <t xml:space="preserve">25.46</t>
        </is>
      </c>
      <c r="E125" s="8" t="inlineStr">
        <is>
          <t xml:space="preserve">42.55</t>
        </is>
      </c>
      <c r="F125" s="8" t="inlineStr">
        <is>
          <t xml:space="preserve">L.m magnetizing inductance, uH</t>
        </is>
      </c>
    </row>
    <row r="126">
      <c r="B126" s="8" t="inlineStr">
        <is>
          <t xml:space="preserve">Device Setting</t>
        </is>
      </c>
      <c r="C126" s="8" t="inlineStr">
        <is>
          <t xml:space="preserve">F24</t>
        </is>
      </c>
      <c r="D126" s="8" t="inlineStr">
        <is>
          <t xml:space="preserve">11</t>
        </is>
      </c>
      <c r="E126" s="8" t="inlineStr">
        <is>
          <t xml:space="preserve">23.2</t>
        </is>
      </c>
      <c r="F126" s="8" t="inlineStr">
        <is>
          <t xml:space="preserve">R.T timing resistor, kOhm</t>
        </is>
      </c>
    </row>
    <row r="128">
      <c r="F128" s="8" t="inlineStr">
        <is>
          <t xml:space="preserve">PQ50 copy, 2026-09-30 (user): the transformer is ONE TDK PQ 50/50 (N97) on its catalogue former B65982E with a 3.0 mm partition, 15 : 2 (NP1 3 x 5 T TIW-Litz d 2.9, NS2 then NS3 2 T layers Litz d 4.0). 2-D FEM leakage 23.3-26.4 uH, so L.r 25 uH; C.r 180 nF (E12), L.m 45 uH (lambda 0.556), R.T 21.5 kOhm (E96, f.Min 48.3 kHz).</t>
        </is>
      </c>
    </row>
    <row r="129">
      <c r="B129" s="8" t="inlineStr">
        <is>
          <t xml:space="preserve">Res. Tank Design</t>
        </is>
      </c>
      <c r="C129" s="8" t="inlineStr">
        <is>
          <t xml:space="preserve">F43</t>
        </is>
      </c>
      <c r="D129" s="8" t="inlineStr">
        <is>
          <t xml:space="preserve">200</t>
        </is>
      </c>
      <c r="E129" s="8" t="inlineStr">
        <is>
          <t xml:space="preserve">180</t>
        </is>
      </c>
      <c r="F129" s="8" t="inlineStr">
        <is>
          <t xml:space="preserve">C.r resonant capacitor, nF</t>
        </is>
      </c>
    </row>
    <row r="130">
      <c r="B130" s="8" t="inlineStr">
        <is>
          <t xml:space="preserve">Res. Tank Design</t>
        </is>
      </c>
      <c r="C130" s="8" t="inlineStr">
        <is>
          <t xml:space="preserve">F44</t>
        </is>
      </c>
      <c r="D130" s="8" t="inlineStr">
        <is>
          <t xml:space="preserve">23.4</t>
        </is>
      </c>
      <c r="E130" s="8" t="inlineStr">
        <is>
          <t xml:space="preserve">25</t>
        </is>
      </c>
      <c r="F130" s="8" t="inlineStr">
        <is>
          <t xml:space="preserve">L.r leakage (resonant) inductance, uH</t>
        </is>
      </c>
    </row>
    <row r="131">
      <c r="B131" s="8" t="inlineStr">
        <is>
          <t xml:space="preserve">Res. Tank Design</t>
        </is>
      </c>
      <c r="C131" s="8" t="inlineStr">
        <is>
          <t xml:space="preserve">F45</t>
        </is>
      </c>
      <c r="D131" s="8" t="inlineStr">
        <is>
          <t xml:space="preserve">42.55</t>
        </is>
      </c>
      <c r="E131" s="8" t="inlineStr">
        <is>
          <t xml:space="preserve">45</t>
        </is>
      </c>
      <c r="F131" s="8" t="inlineStr">
        <is>
          <t xml:space="preserve">L.m magnetizing inductance, uH</t>
        </is>
      </c>
    </row>
    <row r="132">
      <c r="B132" s="8" t="inlineStr">
        <is>
          <t xml:space="preserve">Device Setting</t>
        </is>
      </c>
      <c r="C132" s="8" t="inlineStr">
        <is>
          <t xml:space="preserve">F24</t>
        </is>
      </c>
      <c r="D132" s="8" t="inlineStr">
        <is>
          <t xml:space="preserve">23.2</t>
        </is>
      </c>
      <c r="E132" s="8" t="inlineStr">
        <is>
          <t xml:space="preserve">21.5</t>
        </is>
      </c>
      <c r="F132" s="8" t="inlineStr">
        <is>
          <t xml:space="preserve">R.T timing resistor, kOhm</t>
        </is>
      </c>
    </row>
    <row r="133">
      <c r="B133" s="8" t="inlineStr">
        <is>
          <t xml:space="preserve">Res. Tank Design</t>
        </is>
      </c>
      <c r="C133" s="8" t="inlineStr">
        <is>
          <t xml:space="preserve">F9</t>
        </is>
      </c>
      <c r="D133" s="8" t="inlineStr">
        <is>
          <t xml:space="preserve">6.0241</t>
        </is>
      </c>
      <c r="E133" s="8" t="inlineStr">
        <is>
          <t xml:space="preserve">6.0134</t>
        </is>
      </c>
      <c r="F133" s="8" t="inlineStr">
        <is>
          <t xml:space="preserve">n effective turns ratio = 7.5/sqrt(1 + L.r/L.m), lambda 25/45</t>
        </is>
      </c>
    </row>
    <row r="135">
      <c r="F135" s="8" t="inlineStr">
        <is>
          <t xml:space="preserve">STO60N045DM9 datasheet (DS14711 Rev 4), 2026-10-01 (user): c.HB is now the charge of two devices, 2 x 897 pF x 400 V over the corner bus sqrt(2) x V.eq_min, plus 100 pF layout (was an 800 pF pick); kT.pri from Fig. 10. Q.ZVS2 falls to 4.22 but Q.ZVS1 1.97 still binds, so the tank is unchanged; T.T rises to 170 ns (t.D 220 ns).</t>
        </is>
      </c>
    </row>
    <row r="136">
      <c r="B136" s="8" t="inlineStr">
        <is>
          <t xml:space="preserve">Design Spec</t>
        </is>
      </c>
      <c r="C136" s="8" t="inlineStr">
        <is>
          <t xml:space="preserve">D46</t>
        </is>
      </c>
      <c r="D136" s="8" t="inlineStr">
        <is>
          <t xml:space="preserve">800</t>
        </is>
      </c>
      <c r="E136" s="8" t="inlineStr">
        <is>
          <t xml:space="preserve">3028.98</t>
        </is>
      </c>
      <c r="F136" s="8" t="inlineStr">
        <is>
          <t xml:space="preserve">c.HB midpoint capacitance, pF - from C_oss eq. 897 pF (0..400 V)</t>
        </is>
      </c>
    </row>
    <row r="137">
      <c r="B137" s="8" t="inlineStr">
        <is>
          <t xml:space="preserve">Power Components</t>
        </is>
      </c>
      <c r="C137" s="8" t="inlineStr">
        <is>
          <t xml:space="preserve">D58</t>
        </is>
      </c>
      <c r="D137" s="8" t="inlineStr">
        <is>
          <t xml:space="preserve">1.8</t>
        </is>
      </c>
      <c r="E137" s="8" t="inlineStr">
        <is>
          <t xml:space="preserve">1.9</t>
        </is>
      </c>
      <c r="F137" s="8" t="inlineStr">
        <is>
          <t xml:space="preserve">kT.pri RDSon rise to Tj 125 C - Fig. 10 vector read 1.898</t>
        </is>
      </c>
    </row>
    <row r="138">
      <c r="B138" s="8" t="inlineStr">
        <is>
          <t xml:space="preserve">Power Components</t>
        </is>
      </c>
      <c r="C138" s="8" t="inlineStr">
        <is>
          <t xml:space="preserve">D72</t>
        </is>
      </c>
      <c r="D138" s="8" t="inlineStr">
        <is>
          <t xml:space="preserve">10</t>
        </is>
      </c>
      <c r="E138" s="8" t="inlineStr">
        <is>
          <t xml:space="preserve">100</t>
        </is>
      </c>
      <c r="F138" s="8" t="inlineStr">
        <is>
          <t xml:space="preserve">Cpar midpoint layout parasitic, pF - as the SMath sheet</t>
        </is>
      </c>
    </row>
    <row r="140">
      <c r="F140" s="8" t="inlineStr">
        <is>
          <t xml:space="preserve">STL160N10F8 datasheet (DS14249 Rev 5), 2026-10-02 (user): the SR MOSFET, two per leg. RDSon 3.2 mOhm max and kT 1.5 replace the earlier 3.7 mOhm and 1.9; the SR conduction loss falls from 5.71 to 3.90 W. 100 V against the 80 V recommended.</t>
        </is>
      </c>
    </row>
    <row r="141">
      <c r="B141" s="8" t="inlineStr">
        <is>
          <t xml:space="preserve">Power Components</t>
        </is>
      </c>
      <c r="C141" s="8" t="inlineStr">
        <is>
          <t xml:space="preserve">C92</t>
        </is>
      </c>
      <c r="D141" s="8" t="inlineStr">
        <is>
          <t xml:space="preserve">TPH3R70APL1</t>
        </is>
      </c>
      <c r="E141" s="8" t="inlineStr">
        <is>
          <t xml:space="preserve">STL160N10F8</t>
        </is>
      </c>
      <c r="F141" s="8" t="inlineStr">
        <is>
          <t xml:space="preserve">SR part number</t>
        </is>
      </c>
    </row>
    <row r="142">
      <c r="B142" s="8" t="inlineStr">
        <is>
          <t xml:space="preserve">Power Components</t>
        </is>
      </c>
      <c r="C142" s="8" t="inlineStr">
        <is>
          <t xml:space="preserve">D96</t>
        </is>
      </c>
      <c r="D142" s="8" t="inlineStr">
        <is>
          <t xml:space="preserve">0.0037</t>
        </is>
      </c>
      <c r="E142" s="8" t="inlineStr">
        <is>
          <t xml:space="preserve">0.0032</t>
        </is>
      </c>
      <c r="F142" s="8" t="inlineStr">
        <is>
          <t xml:space="preserve">RD SR RDSon max 25 C, VGS 10 V - STL160N10F8 Table 3</t>
        </is>
      </c>
    </row>
    <row r="143">
      <c r="B143" s="8" t="inlineStr">
        <is>
          <t xml:space="preserve">Power Components</t>
        </is>
      </c>
      <c r="C143" s="8" t="inlineStr">
        <is>
          <t xml:space="preserve">D98</t>
        </is>
      </c>
      <c r="D143" s="8" t="inlineStr">
        <is>
          <t xml:space="preserve">1.9</t>
        </is>
      </c>
      <c r="E143" s="8" t="inlineStr">
        <is>
          <t xml:space="preserve">1.5</t>
        </is>
      </c>
      <c r="F143" s="8" t="inlineStr">
        <is>
          <t xml:space="preserve">kT.sec RDSon rise to Tj 125 C - Fig. 13 vector read 1.504</t>
        </is>
      </c>
    </row>
    <row r="145">
      <c r="F145" s="8" t="inlineStr">
        <is>
          <t xml:space="preserve">LED rail V_Z designed (sheet 16.1b), 2026-10-02: a TL431B shunt regulator fed from V_out through R_Z 2.2 kOhm, divider 38.3k / 10k. A +-5 % Zener does not fit the R_B window (k 1.07 / 1.051).</t>
        </is>
      </c>
    </row>
    <row r="146">
      <c r="B146" s="8" t="inlineStr">
        <is>
          <t xml:space="preserve">CompensationNet&amp;Check</t>
        </is>
      </c>
      <c r="C146" s="8" t="inlineStr">
        <is>
          <t xml:space="preserve">D14</t>
        </is>
      </c>
      <c r="D146" s="8" t="inlineStr">
        <is>
          <t xml:space="preserve">12</t>
        </is>
      </c>
      <c r="E146" s="8" t="inlineStr">
        <is>
          <t xml:space="preserve">12.05085</t>
        </is>
      </c>
      <c r="F146" s="8" t="inlineStr">
        <is>
          <t xml:space="preserve">V_Z = V.R (1 + R.Z1/R.Z2)</t>
        </is>
      </c>
    </row>
    <row r="148">
      <c r="F148" s="8" t="inlineStr">
        <is>
          <t xml:space="preserve">peak tank current vs load (Res. Tank Design 70-79, CC 59-74) - ADDED (user, 2026-10-18/19): below resonance the magnetizing current peaks at the end of the half cycle and the load current in the middle, so at light load the peak IS the magnetizing current and only above ld.add does the load raise it ([79], as Device Setting D32 at 100 %). Res. Tank Design 73-79 hold the results; CC 59-74 re-solve the frequency at 0/25/50/75/100 % load (closed-form cubic of the SMath sheet, section 8) and compute I.trafo, I.lm and the composite peak. Live formulas on the book inputs; no existing cell changes.</t>
        </is>
      </c>
    </row>
    <row r="149">
      <c r="B149" s="8" t="inlineStr">
        <is>
          <t xml:space="preserve">Res. Tank Design</t>
        </is>
      </c>
      <c r="C149" s="8" t="inlineStr">
        <is>
          <t xml:space="preserve">D73:D79</t>
        </is>
      </c>
      <c r="F149" s="8" t="inlineStr">
        <is>
          <t xml:space="preserve">I.Lm.pk, I.Lm.zc, ld.add, Ilr.pk at 25/50/75/100 %</t>
        </is>
      </c>
    </row>
    <row r="150">
      <c r="B150" s="8" t="inlineStr">
        <is>
          <t xml:space="preserve">CC</t>
        </is>
      </c>
      <c r="C150" s="8" t="inlineStr">
        <is>
          <t xml:space="preserve">B59:G74</t>
        </is>
      </c>
      <c r="F150" s="8" t="inlineStr">
        <is>
          <t xml:space="preserve">working: cubic, fsw, Itrafo.pk, Ilm.pk, r.mix, composite peak</t>
        </is>
      </c>
    </row>
    <row r="152">
      <c r="F152" s="8" t="inlineStr">
        <is>
          <t xml:space="preserve">gate driver selection in the switch section, start-up in Res. Tank Design - ADDED (user, 2026-10-22). Power Components rows inserted (xl_rows.py, every reference followed): 76-82 the switch gate data (STO60N045DM9: C.g 7.5 nF Qg slope, C.gs 4.76 nF, R.g 4.5, V.pl 6.3, V.th 4.0 / 3.5, Q.gd 13 nC); 88-132 LLC Half Bridge Gate Driver Selection - part number, driver datasheet values (L6498LD: 1.4 / 1.55 A at 15 V, 10-20 V, 85 ns, MT 30 ns, no internal dead time, 800 kHz, 0.6 mA, 120 K/W, 125 C, V.BO 9.3 V), gate network (Value = recommendation, Selected Value = design sheet section 14c.1: V.CC_reg_max 14.35 V, R.G 4.7, R.G_off 2.2 ohm + 1N4148W, C.BOOT 470 nF, ES1J (V.F 1.3 V) with no series resistor, G = OK / CHECK and the allowed range), results with G = OK / CHECK and the limit, schematic at column H. Old rows 76-80 are now 83-87 and old 81-119 (the secondary section) 133-171; CHANGELOG entries above this line name the old rows. Res. Tank Design 81-87: start-up I.su, k.su.OCP2, k.su.OCP1, f.su.OCP1. CC 77-134: the working (gate_budget.py model).</t>
        </is>
      </c>
    </row>
    <row r="153">
      <c r="B153" s="8" t="inlineStr">
        <is>
          <t xml:space="preserve">Power Components</t>
        </is>
      </c>
      <c r="C153" s="8" t="inlineStr">
        <is>
          <t xml:space="preserve">B76:E82</t>
        </is>
      </c>
      <c r="F153" s="8" t="inlineStr">
        <is>
          <t xml:space="preserve">switch gate data (yellow)</t>
        </is>
      </c>
    </row>
    <row r="154">
      <c r="B154" s="8" t="inlineStr">
        <is>
          <t xml:space="preserve">Power Components</t>
        </is>
      </c>
      <c r="C154" s="8" t="inlineStr">
        <is>
          <t xml:space="preserve">B88:G132</t>
        </is>
      </c>
      <c r="F154" s="8" t="inlineStr">
        <is>
          <t xml:space="preserve">gate driver selection</t>
        </is>
      </c>
    </row>
    <row r="155">
      <c r="B155" s="8" t="inlineStr">
        <is>
          <t xml:space="preserve">Res. Tank Design</t>
        </is>
      </c>
      <c r="C155" s="8" t="inlineStr">
        <is>
          <t xml:space="preserve">B81:F87</t>
        </is>
      </c>
      <c r="F155" s="8" t="inlineStr">
        <is>
          <t xml:space="preserve">start-up: I.su, k.su.OCP2, k.su.OCP1, f.su.OCP1</t>
        </is>
      </c>
    </row>
    <row r="156">
      <c r="B156" s="8" t="inlineStr">
        <is>
          <t xml:space="preserve">CC</t>
        </is>
      </c>
      <c r="C156" s="8" t="inlineStr">
        <is>
          <t xml:space="preserve">B77:D134</t>
        </is>
      </c>
      <c r="F156" s="8" t="inlineStr">
        <is>
          <t xml:space="preserve">gate drive working</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10" ht="16.5" customHeight="1">
      <c r="B27" s="1" t="s">
        <v>159</v>
      </c>
      <c r="C27" s="1" t="s">
        <v>160</v>
      </c>
      <c r="D27" s="2">
        <v>657.5</v>
      </c>
      <c r="E27" s="1" t="s">
        <v>161</v>
      </c>
    </row>
    <row r="28" spans="2:10" ht="16.5" customHeight="1">
      <c r="B28" s="1" t="s">
        <v>162</v>
      </c>
      <c r="C28" s="1" t="s">
        <v>163</v>
      </c>
      <c r="D28" s="2">
        <v>98</v>
      </c>
      <c r="E28" s="1" t="s">
        <v>155</v>
      </c>
    </row>
    <row r="29" spans="2:10" ht="16.5" customHeight="1">
      <c r="B29" s="1" t="s">
        <v>164</v>
      </c>
      <c r="C29" s="1" t="s">
        <v>165</v>
      </c>
      <c r="D29" s="2">
        <v>25</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3028.98</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87"/>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6.0134</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180</v>
      </c>
    </row>
    <row r="44" spans="2:6" ht="14.25" customHeight="1">
      <c r="B44" s="1" t="s">
        <v>318</v>
      </c>
      <c r="C44" s="1" t="s">
        <v>319</v>
      </c>
      <c r="D44" s="3">
        <f>1/(IF(F43,F43,D43)*(10^-12)*(2*PI()*'Design Spec'!D102*1000)^2)*1000</f>
        <v>11.257909293593086</v>
      </c>
      <c r="E44" s="1" t="s">
        <v>320</v>
      </c>
      <c r="F44" s="2">
        <v>25</v>
      </c>
    </row>
    <row r="45" spans="2:6" ht="14.25" customHeight="1">
      <c r="B45" s="1" t="s">
        <v>321</v>
      </c>
      <c r="C45" s="1" t="s">
        <v>322</v>
      </c>
      <c r="D45" s="3">
        <f>IF(F44,F44,D44)/D16</f>
        <v>8.8661373823173655</v>
      </c>
      <c r="E45" s="1" t="s">
        <v>320</v>
      </c>
      <c r="F45" s="2">
        <v>45</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row r="69" spans="2:5" ht="14.25" customHeight="1"/>
    <row r="70" spans="2:2" ht="18" customHeight="1">
      <c r="B70" s="19" t="inlineStr">
        <is>
          <t xml:space="preserve">Peak tank current vs load (magnetizing + load)</t>
        </is>
      </c>
    </row>
    <row r="71" spans="2:5" ht="3" customHeight="1"/>
    <row r="72" spans="2:5" ht="15.75" customHeight="1">
      <c r="B72" s="20" t="inlineStr">
        <is>
          <t xml:space="preserve">Parameters</t>
        </is>
      </c>
      <c r="C72" s="20" t="inlineStr">
        <is>
          <t xml:space="preserve">Name</t>
        </is>
      </c>
      <c r="D72" s="20" t="inlineStr">
        <is>
          <t xml:space="preserve">Value</t>
        </is>
      </c>
      <c r="E72" s="20" t="inlineStr">
        <is>
          <t xml:space="preserve">Unit</t>
        </is>
      </c>
    </row>
    <row r="73" spans="2:5" ht="15" customHeight="1">
      <c r="B73" s="1" t="inlineStr">
        <is>
          <t xml:space="preserve">Magnetizing current peak (any load)</t>
        </is>
      </c>
      <c r="C73" s="1" t="inlineStr">
        <is>
          <t xml:space="preserve">I.Lm.pk</t>
        </is>
      </c>
      <c r="D73" s="49">
        <f>CC!C70</f>
      </c>
      <c r="E73" s="62" t="inlineStr">
        <is>
          <t xml:space="preserve">A</t>
        </is>
      </c>
    </row>
    <row r="74" spans="2:5" ht="15" customHeight="1">
      <c r="B74" s="1" t="inlineStr">
        <is>
          <t xml:space="preserve">Magnetizing current peak @ line zero crossing (f.Min)</t>
        </is>
      </c>
      <c r="C74" s="1" t="inlineStr">
        <is>
          <t xml:space="preserve">I.Lm.zc</t>
        </is>
      </c>
      <c r="D74" s="49">
        <f>CC!C74</f>
      </c>
      <c r="E74" s="62" t="inlineStr">
        <is>
          <t xml:space="preserve">A</t>
        </is>
      </c>
    </row>
    <row r="75" spans="2:5" ht="15" customHeight="1">
      <c r="B75" s="1" t="inlineStr">
        <is>
          <t xml:space="preserve">Load above which the load current adds to the peak (approx.)</t>
        </is>
      </c>
      <c r="C75" s="1" t="inlineStr">
        <is>
          <t xml:space="preserve">ld.add</t>
        </is>
      </c>
      <c r="D75" s="49">
        <f>MIN(100,100*2*CC!E70/PI()/(CC!E69/CC!E60))</f>
      </c>
      <c r="E75" s="62" t="inlineStr">
        <is>
          <t xml:space="preserve">%</t>
        </is>
      </c>
    </row>
    <row r="76" spans="2:5" ht="15" customHeight="1">
      <c r="B76" s="1" t="inlineStr">
        <is>
          <t xml:space="preserve">Peak tank current @ 25 % load</t>
        </is>
      </c>
      <c r="C76" s="1" t="inlineStr">
        <is>
          <t xml:space="preserve">Ilr.pk.25</t>
        </is>
      </c>
      <c r="D76" s="49">
        <f>CC!D72</f>
      </c>
      <c r="E76" s="62" t="inlineStr">
        <is>
          <t xml:space="preserve">A</t>
        </is>
      </c>
    </row>
    <row r="77" spans="2:5" ht="15" customHeight="1">
      <c r="B77" s="1" t="inlineStr">
        <is>
          <t xml:space="preserve">Peak tank current @ 50 % load</t>
        </is>
      </c>
      <c r="C77" s="1" t="inlineStr">
        <is>
          <t xml:space="preserve">Ilr.pk.50</t>
        </is>
      </c>
      <c r="D77" s="49">
        <f>CC!E72</f>
      </c>
      <c r="E77" s="62" t="inlineStr">
        <is>
          <t xml:space="preserve">A</t>
        </is>
      </c>
    </row>
    <row r="78" spans="2:5" ht="15" customHeight="1">
      <c r="B78" s="1" t="inlineStr">
        <is>
          <t xml:space="preserve">Peak tank current @ 75 % load</t>
        </is>
      </c>
      <c r="C78" s="1" t="inlineStr">
        <is>
          <t xml:space="preserve">Ilr.pk.75</t>
        </is>
      </c>
      <c r="D78" s="49">
        <f>CC!F72</f>
      </c>
      <c r="E78" s="62" t="inlineStr">
        <is>
          <t xml:space="preserve">A</t>
        </is>
      </c>
    </row>
    <row r="79" spans="2:5" ht="15" customHeight="1">
      <c r="B79" s="1" t="inlineStr">
        <is>
          <t xml:space="preserve">Peak tank current @ 100 % load</t>
        </is>
      </c>
      <c r="C79" s="1" t="inlineStr">
        <is>
          <t xml:space="preserve">Ilr.pk.100</t>
        </is>
      </c>
      <c r="D79" s="49">
        <f>CC!G72</f>
      </c>
      <c r="E79" s="62" t="inlineStr">
        <is>
          <t xml:space="preserve">A</t>
        </is>
      </c>
    </row>
    <row r="80" ht="14.25" customHeight="1"/>
    <row r="81" ht="18" customHeight="1">
      <c r="B81" s="19" t="inlineStr">
        <is>
          <t xml:space="preserve">Start-up with the output near 0 V</t>
        </is>
      </c>
    </row>
    <row r="82" ht="3" customHeight="1"/>
    <row r="83" ht="15.75" customHeight="1">
      <c r="B83" s="20" t="inlineStr">
        <is>
          <t xml:space="preserve">Parameters</t>
        </is>
      </c>
      <c r="C83" s="20" t="inlineStr">
        <is>
          <t xml:space="preserve">Name</t>
        </is>
      </c>
      <c r="D83" s="20" t="inlineStr">
        <is>
          <t xml:space="preserve">Value</t>
        </is>
      </c>
      <c r="E83" s="20" t="inlineStr">
        <is>
          <t xml:space="preserve">Unit</t>
        </is>
      </c>
      <c r="F83" s="20" t="inlineStr">
        <is>
          <t xml:space="preserve">Check</t>
        </is>
      </c>
    </row>
    <row r="84" ht="15" customHeight="1">
      <c r="B84" s="1" t="inlineStr">
        <is>
          <t xml:space="preserve">Tank peak at f.SU, V.out ~0 (FB, 235 V bus)</t>
        </is>
      </c>
      <c r="C84" s="1" t="inlineStr">
        <is>
          <t xml:space="preserve">I.su</t>
        </is>
      </c>
      <c r="D84" s="49">
        <f>MAX(CC!$C$79,SQRT(2)*'Design Spec'!$D$14/2)/D52*TAN(PI()*D55/(2*'Device Setting'!$D$29))</f>
      </c>
      <c r="E84" s="62" t="inlineStr">
        <is>
          <t xml:space="preserve">A</t>
        </is>
      </c>
    </row>
    <row r="85" ht="15" customHeight="1">
      <c r="B85" s="1" t="inlineStr">
        <is>
          <t xml:space="preserve">OCP2 margin (&gt; 1, else start-up restarts)</t>
        </is>
      </c>
      <c r="C85" s="1" t="inlineStr">
        <is>
          <t xml:space="preserve">k.su.OCP2</t>
        </is>
      </c>
      <c r="D85" s="49">
        <f>'Device Setting'!$G$49/D84</f>
      </c>
      <c r="E85" s="62" t="inlineStr">
        <is>
          <t xml:space="preserve">-</t>
        </is>
      </c>
      <c r="F85" s="1">
        <f>IF(D85&gt;=1,"OK","CHECK")</f>
      </c>
    </row>
    <row r="86" ht="15" customHeight="1">
      <c r="B86" s="1" t="inlineStr">
        <is>
          <t xml:space="preserve">OCP1 margin (&gt; 1, else OCP1 acts at once)</t>
        </is>
      </c>
      <c r="C86" s="1" t="inlineStr">
        <is>
          <t xml:space="preserve">k.su.OCP1</t>
        </is>
      </c>
      <c r="D86" s="49">
        <f>'Device Setting'!$D$49/D84</f>
      </c>
      <c r="E86" s="62" t="inlineStr">
        <is>
          <t xml:space="preserve">-</t>
        </is>
      </c>
      <c r="F86" s="1">
        <f>IF(D86&gt;=1,"OK","CHECK")</f>
      </c>
    </row>
    <row r="87" ht="15" customHeight="1">
      <c r="B87" s="1" t="inlineStr">
        <is>
          <t xml:space="preserve">Lowest f before OCP1 while V.out is low</t>
        </is>
      </c>
      <c r="C87" s="1" t="inlineStr">
        <is>
          <t xml:space="preserve">f.su.OCP1</t>
        </is>
      </c>
      <c r="D87" s="49">
        <f>PI()*D55/(2*ATAN('Device Setting'!$D$49*D52/MAX(CC!$C$79,SQRT(2)*'Design Spec'!$D$14/2)))</f>
      </c>
      <c r="E87" s="62" t="inlineStr">
        <is>
          <t xml:space="preserve">kHz</t>
        </is>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171"/>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2200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160</v>
      </c>
      <c r="E23" s="1" t="s">
        <v>181</v>
      </c>
    </row>
    <row r="24" spans="2:5" ht="14.25" customHeight="1">
      <c r="B24" s="1" t="s">
        <v>369</v>
      </c>
      <c r="C24" s="1" t="s">
        <v>370</v>
      </c>
      <c r="D24" s="2">
        <v>470</v>
      </c>
      <c r="E24" s="1" t="s">
        <v>172</v>
      </c>
    </row>
    <row r="25" spans="2:5" ht="14.25" customHeight="1">
      <c r="B25" s="1" t="s">
        <v>371</v>
      </c>
      <c r="C25" s="1" t="s">
        <v>174</v>
      </c>
      <c r="D25" s="2">
        <v>30</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7" ht="14.25" customHeight="1">
      <c r="B38" s="1" t="s">
        <v>393</v>
      </c>
      <c r="C38" s="1" t="s">
        <v>394</v>
      </c>
      <c r="D38" s="2">
        <v>10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s">
        <v>406</v>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1.9</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100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c r="B76" s="1" t="inlineStr">
        <is>
          <t xml:space="preserve">Gate capacitance above the plateau, Qg slope (per device)</t>
        </is>
      </c>
      <c r="C76" s="1" t="inlineStr">
        <is>
          <t xml:space="preserve">C.g</t>
        </is>
      </c>
      <c r="D76" s="2">
        <v>7.5</v>
      </c>
      <c r="E76" s="26" t="inlineStr">
        <is>
          <t xml:space="preserve">nF</t>
        </is>
      </c>
    </row>
    <row r="77">
      <c r="B77" s="1" t="inlineStr">
        <is>
          <t xml:space="preserve">Gate-source capacitance C.iss - C.rss (per device)</t>
        </is>
      </c>
      <c r="C77" s="1" t="inlineStr">
        <is>
          <t xml:space="preserve">C.gs.dev</t>
        </is>
      </c>
      <c r="D77" s="2">
        <v>4.76</v>
      </c>
      <c r="E77" s="26" t="inlineStr">
        <is>
          <t xml:space="preserve">nF</t>
        </is>
      </c>
    </row>
    <row r="78">
      <c r="B78" s="1" t="inlineStr">
        <is>
          <t xml:space="preserve">Internal gate resistance (per device)</t>
        </is>
      </c>
      <c r="C78" s="1" t="inlineStr">
        <is>
          <t xml:space="preserve">R.g</t>
        </is>
      </c>
      <c r="D78" s="2">
        <v>4.5</v>
      </c>
      <c r="E78" s="26" t="inlineStr">
        <is>
          <t xml:space="preserve">Ω</t>
        </is>
      </c>
    </row>
    <row r="79">
      <c r="B79" s="1" t="inlineStr">
        <is>
          <t xml:space="preserve">Miller plateau voltage</t>
        </is>
      </c>
      <c r="C79" s="1" t="inlineStr">
        <is>
          <t xml:space="preserve">V.pl</t>
        </is>
      </c>
      <c r="D79" s="2">
        <v>6.3</v>
      </c>
      <c r="E79" s="26" t="inlineStr">
        <is>
          <t xml:space="preserve">V</t>
        </is>
      </c>
    </row>
    <row r="80">
      <c r="B80" s="1" t="inlineStr">
        <is>
          <t xml:space="preserve">Gate threshold, typ (for timing)</t>
        </is>
      </c>
      <c r="C80" s="1" t="inlineStr">
        <is>
          <t xml:space="preserve">V.th</t>
        </is>
      </c>
      <c r="D80" s="2">
        <v>4.0</v>
      </c>
      <c r="E80" s="26" t="inlineStr">
        <is>
          <t xml:space="preserve">V</t>
        </is>
      </c>
    </row>
    <row r="81">
      <c r="B81" s="1" t="inlineStr">
        <is>
          <t xml:space="preserve">Gate threshold, min</t>
        </is>
      </c>
      <c r="C81" s="1" t="inlineStr">
        <is>
          <t xml:space="preserve">V.th.min</t>
        </is>
      </c>
      <c r="D81" s="2">
        <v>3.5</v>
      </c>
      <c r="E81" s="26" t="inlineStr">
        <is>
          <t xml:space="preserve">V</t>
        </is>
      </c>
    </row>
    <row r="82">
      <c r="B82" s="1" t="inlineStr">
        <is>
          <t xml:space="preserve">Miller charge over the bus swing (per device)</t>
        </is>
      </c>
      <c r="C82" s="1" t="inlineStr">
        <is>
          <t xml:space="preserve">Q.gd</t>
        </is>
      </c>
      <c r="D82" s="2">
        <v>13</v>
      </c>
      <c r="E82" s="26" t="inlineStr">
        <is>
          <t xml:space="preserve">nC</t>
        </is>
      </c>
    </row>
    <row r="83" spans="2:14" ht="15.75" customHeight="1">
      <c r="B83" s="20" t="s">
        <v>356</v>
      </c>
      <c r="C83" s="20" t="s">
        <v>132</v>
      </c>
      <c r="D83" s="20" t="s">
        <v>133</v>
      </c>
      <c r="E83" s="20" t="s">
        <v>134</v>
      </c>
      <c r="F83" s="76"/>
      <c r="G83" s="76"/>
      <c r="H83" s="76"/>
      <c r="I83" s="76"/>
      <c r="J83" s="76"/>
      <c r="K83" s="76"/>
      <c r="L83" s="76"/>
      <c r="M83" s="76"/>
      <c r="N83" s="76"/>
    </row>
    <row r="84" spans="2:14" ht="14.25" customHeight="1">
      <c r="B84" s="1" t="s">
        <v>426</v>
      </c>
      <c r="C84" s="1" t="s">
        <v>427</v>
      </c>
      <c r="D84" s="1">
        <f>(2*D71)+D72</f>
        <v>1804</v>
      </c>
      <c r="E84" s="1" t="s">
        <v>194</v>
      </c>
      <c r="F84" s="76"/>
      <c r="G84" s="76"/>
      <c r="H84" s="76"/>
      <c r="I84" s="76"/>
      <c r="J84" s="76"/>
      <c r="K84" s="76"/>
      <c r="L84" s="76"/>
      <c r="M84" s="76"/>
      <c r="N84" s="76"/>
    </row>
    <row r="85" spans="2:14" ht="15" customHeight="1">
      <c r="B85" s="1" t="s">
        <v>1193</v>
      </c>
      <c r="C85" s="1" t="s">
        <v>428</v>
      </c>
      <c r="D85" s="200">
        <f>D70*D58*D62^2</f>
        <v>4.8234434836050069</v>
      </c>
      <c r="E85" s="1" t="s">
        <v>161</v>
      </c>
      <c r="F85" s="76"/>
      <c r="G85" s="76"/>
      <c r="H85" s="76"/>
      <c r="I85" s="76"/>
      <c r="J85" s="76"/>
      <c r="K85" s="76"/>
      <c r="L85" s="76"/>
      <c r="M85" s="76"/>
      <c r="N85" s="76"/>
    </row>
    <row r="86" spans="2:14" ht="15" customHeight="1">
      <c r="B86" s="1" t="s">
        <v>1194</v>
      </c>
      <c r="C86" s="1" t="s">
        <v>1195</v>
      </c>
      <c r="D86" s="200">
        <f>D70*D58*(D60/D68)^2</f>
        <v>9.6468869672100155</v>
      </c>
      <c r="E86" s="1" t="s">
        <v>161</v>
      </c>
      <c r="F86" s="76"/>
      <c r="G86" s="76"/>
      <c r="H86" s="76"/>
      <c r="I86" s="76"/>
      <c r="J86" s="76"/>
      <c r="K86" s="76"/>
      <c r="L86" s="76"/>
      <c r="M86" s="76"/>
      <c r="N86" s="76"/>
    </row>
    <row r="87" spans="2:14" ht="14.25" customHeight="1">
      <c r="B87" s="1" t="s">
        <v>1211</v>
      </c>
      <c r="C87" s="1" t="s">
        <v>429</v>
      </c>
      <c r="D87" s="200">
        <f>(125-D73)/MAX(D85,D86)</f>
        <v>10.366038323026094</v>
      </c>
      <c r="E87" s="1" t="s">
        <v>430</v>
      </c>
      <c r="F87" s="76"/>
      <c r="G87" s="76"/>
      <c r="H87" s="76"/>
      <c r="I87" s="76"/>
      <c r="J87" s="76"/>
      <c r="K87" s="76"/>
      <c r="L87" s="76"/>
      <c r="M87" s="76"/>
      <c r="N87" s="76"/>
    </row>
    <row r="88">
      <c r="B88" s="19" t="inlineStr">
        <is>
          <t xml:space="preserve">LLC Half Bridge Gate Driver Selection</t>
        </is>
      </c>
    </row>
    <row r="89">
      <c r="B89" s="20" t="inlineStr">
        <is>
          <t xml:space="preserve">Please Select a dedicated Gate Driver part number </t>
        </is>
      </c>
      <c r="C89" s="202" t="inlineStr">
        <is>
          <t xml:space="preserve">L6498LD</t>
        </is>
      </c>
      <c r="D89" s="202"/>
      <c r="E89" s="202"/>
    </row>
    <row r="90">
      <c r="B90" s="20" t="inlineStr">
        <is>
          <t xml:space="preserve">Parameter</t>
        </is>
      </c>
      <c r="C90" s="20" t="inlineStr">
        <is>
          <t xml:space="preserve">Name</t>
        </is>
      </c>
      <c r="D90" s="20" t="inlineStr">
        <is>
          <t xml:space="preserve">Value</t>
        </is>
      </c>
      <c r="E90" s="20" t="inlineStr">
        <is>
          <t xml:space="preserve">Unit</t>
        </is>
      </c>
    </row>
    <row r="91">
      <c r="B91" s="1" t="inlineStr">
        <is>
          <t xml:space="preserve">Source current, min (full temperature)</t>
        </is>
      </c>
      <c r="C91" s="1" t="inlineStr">
        <is>
          <t xml:space="preserve">I.so</t>
        </is>
      </c>
      <c r="D91" s="2">
        <v>1.4</v>
      </c>
      <c r="E91" s="26" t="inlineStr">
        <is>
          <t xml:space="preserve">A</t>
        </is>
      </c>
    </row>
    <row r="92">
      <c r="B92" s="1" t="inlineStr">
        <is>
          <t xml:space="preserve">Sink current, min (full temperature)</t>
        </is>
      </c>
      <c r="C92" s="1" t="inlineStr">
        <is>
          <t xml:space="preserve">I.si</t>
        </is>
      </c>
      <c r="D92" s="2">
        <v>1.55</v>
      </c>
      <c r="E92" s="26" t="inlineStr">
        <is>
          <t xml:space="preserve">A</t>
        </is>
      </c>
    </row>
    <row r="93">
      <c r="B93" s="1" t="inlineStr">
        <is>
          <t xml:space="preserve">Supply voltage those currents are given at</t>
        </is>
      </c>
      <c r="C93" s="1" t="inlineStr">
        <is>
          <t xml:space="preserve">V.test</t>
        </is>
      </c>
      <c r="D93" s="2">
        <v>15</v>
      </c>
      <c r="E93" s="26" t="inlineStr">
        <is>
          <t xml:space="preserve">V</t>
        </is>
      </c>
    </row>
    <row r="94">
      <c r="B94" s="1" t="inlineStr">
        <is>
          <t xml:space="preserve">Supply voltage, recommended min</t>
        </is>
      </c>
      <c r="C94" s="1" t="inlineStr">
        <is>
          <t xml:space="preserve">V.cc.min</t>
        </is>
      </c>
      <c r="D94" s="2">
        <v>10</v>
      </c>
      <c r="E94" s="26" t="inlineStr">
        <is>
          <t xml:space="preserve">V</t>
        </is>
      </c>
    </row>
    <row r="95">
      <c r="B95" s="1" t="inlineStr">
        <is>
          <t xml:space="preserve">Supply voltage, recommended max</t>
        </is>
      </c>
      <c r="C95" s="1" t="inlineStr">
        <is>
          <t xml:space="preserve">V.cc.max</t>
        </is>
      </c>
      <c r="D95" s="2">
        <v>20</v>
      </c>
      <c r="E95" s="26" t="inlineStr">
        <is>
          <t xml:space="preserve">V</t>
        </is>
      </c>
    </row>
    <row r="96">
      <c r="B96" s="1" t="inlineStr">
        <is>
          <t xml:space="preserve">Propagation delay, typ</t>
        </is>
      </c>
      <c r="C96" s="1" t="inlineStr">
        <is>
          <t xml:space="preserve">t.pd</t>
        </is>
      </c>
      <c r="D96" s="2">
        <v>85</v>
      </c>
      <c r="E96" s="26" t="inlineStr">
        <is>
          <t xml:space="preserve">ns</t>
        </is>
      </c>
    </row>
    <row r="97">
      <c r="B97" s="1" t="inlineStr">
        <is>
          <t xml:space="preserve">Delay matching, max</t>
        </is>
      </c>
      <c r="C97" s="1" t="inlineStr">
        <is>
          <t xml:space="preserve">MT</t>
        </is>
      </c>
      <c r="D97" s="2">
        <v>30</v>
      </c>
      <c r="E97" s="26" t="inlineStr">
        <is>
          <t xml:space="preserve">ns</t>
        </is>
      </c>
    </row>
    <row r="98">
      <c r="B98" s="1" t="inlineStr">
        <is>
          <t xml:space="preserve">Internal dead time (0 = none, interlocking only)</t>
        </is>
      </c>
      <c r="C98" s="1" t="inlineStr">
        <is>
          <t xml:space="preserve">t.DT</t>
        </is>
      </c>
      <c r="D98" s="2">
        <v>0</v>
      </c>
      <c r="E98" s="26" t="inlineStr">
        <is>
          <t xml:space="preserve">ns</t>
        </is>
      </c>
    </row>
    <row r="99">
      <c r="B99" s="1" t="inlineStr">
        <is>
          <t xml:space="preserve">Maximum switching frequency</t>
        </is>
      </c>
      <c r="C99" s="1" t="inlineStr">
        <is>
          <t xml:space="preserve">f.max</t>
        </is>
      </c>
      <c r="D99" s="2">
        <v>800</v>
      </c>
      <c r="E99" s="26" t="inlineStr">
        <is>
          <t xml:space="preserve">kHz</t>
        </is>
      </c>
    </row>
    <row r="100">
      <c r="B100" s="1" t="inlineStr">
        <is>
          <t xml:space="preserve">Quiescent current, VCC + floating, max</t>
        </is>
      </c>
      <c r="C100" s="1" t="inlineStr">
        <is>
          <t xml:space="preserve">I.Q</t>
        </is>
      </c>
      <c r="D100" s="2">
        <v>0.6</v>
      </c>
      <c r="E100" s="26" t="inlineStr">
        <is>
          <t xml:space="preserve">mA</t>
        </is>
      </c>
    </row>
    <row r="101">
      <c r="B101" s="1" t="inlineStr">
        <is>
          <t xml:space="preserve">Thermal resistance junction-ambient</t>
        </is>
      </c>
      <c r="C101" s="1" t="inlineStr">
        <is>
          <t xml:space="preserve">Rth.drv</t>
        </is>
      </c>
      <c r="D101" s="2">
        <v>120</v>
      </c>
      <c r="E101" s="26" t="inlineStr">
        <is>
          <t xml:space="preserve">˚C/W</t>
        </is>
      </c>
    </row>
    <row r="102">
      <c r="B102" s="1" t="inlineStr">
        <is>
          <t xml:space="preserve">Junction temperature, recommended max</t>
        </is>
      </c>
      <c r="C102" s="1" t="inlineStr">
        <is>
          <t xml:space="preserve">Tj.max</t>
        </is>
      </c>
      <c r="D102" s="2">
        <v>125</v>
      </c>
      <c r="E102" s="26" t="inlineStr">
        <is>
          <t xml:space="preserve">˚C</t>
        </is>
      </c>
    </row>
    <row r="103">
      <c r="B103" s="1" t="inlineStr">
        <is>
          <t xml:space="preserve">Floating (bootstrap) supply, recommended min</t>
        </is>
      </c>
      <c r="C103" s="1" t="inlineStr">
        <is>
          <t xml:space="preserve">V.bo.min</t>
        </is>
      </c>
      <c r="D103" s="2">
        <v>9.3</v>
      </c>
      <c r="E103" s="26" t="inlineStr">
        <is>
          <t xml:space="preserve">V</t>
        </is>
      </c>
    </row>
    <row r="104">
      <c r="B104" s="20" t="inlineStr">
        <is>
          <t xml:space="preserve">Parameters</t>
        </is>
      </c>
      <c r="C104" s="20" t="inlineStr">
        <is>
          <t xml:space="preserve">Name</t>
        </is>
      </c>
      <c r="D104" s="20" t="inlineStr">
        <is>
          <t xml:space="preserve">Value</t>
        </is>
      </c>
      <c r="E104" s="20" t="inlineStr">
        <is>
          <t xml:space="preserve">Unit</t>
        </is>
      </c>
      <c r="F104" s="20" t="inlineStr">
        <is>
          <t xml:space="preserve">Selected Value</t>
        </is>
      </c>
    </row>
    <row r="105">
      <c r="B105" s="1" t="inlineStr">
        <is>
          <t xml:space="preserve">Maximum gate drive voltage (driver supply range)</t>
        </is>
      </c>
      <c r="C105" s="1" t="inlineStr">
        <is>
          <t xml:space="preserve">V.drv.max</t>
        </is>
      </c>
      <c r="D105" s="49">
        <f>CC!$C$84</f>
      </c>
      <c r="E105" s="26" t="inlineStr">
        <is>
          <t xml:space="preserve">V</t>
        </is>
      </c>
    </row>
    <row r="106">
      <c r="B106" s="1" t="inlineStr">
        <is>
          <t xml:space="preserve">Minimum gate drive voltage (10 V at the high-side gate)</t>
        </is>
      </c>
      <c r="C106" s="1" t="inlineStr">
        <is>
          <t xml:space="preserve">V.drv.min</t>
        </is>
      </c>
      <c r="D106" s="49">
        <f>CC!$C$83</f>
      </c>
      <c r="E106" s="26" t="inlineStr">
        <is>
          <t xml:space="preserve">V</t>
        </is>
      </c>
    </row>
    <row r="107">
      <c r="B107" s="1" t="inlineStr">
        <is>
          <t xml:space="preserve">Select V.drv between V.drv.min and V.drv.max</t>
        </is>
      </c>
      <c r="C107" s="1" t="inlineStr">
        <is>
          <t xml:space="preserve">V.drv</t>
        </is>
      </c>
      <c r="D107" s="49"/>
      <c r="E107" s="26" t="inlineStr">
        <is>
          <t xml:space="preserve">V</t>
        </is>
      </c>
      <c r="F107" s="2">
        <v>14.35</v>
      </c>
    </row>
    <row r="108">
      <c r="B108" s="1" t="inlineStr">
        <is>
          <t xml:space="preserve">Maximum turn-on resistor (gate at 10 V within the start-up pulse)</t>
        </is>
      </c>
      <c r="C108" s="1" t="inlineStr">
        <is>
          <t xml:space="preserve">R.on.max</t>
        </is>
      </c>
      <c r="D108" s="49">
        <f>CC!$C$104</f>
      </c>
      <c r="E108" s="26" t="inlineStr">
        <is>
          <t xml:space="preserve">Ω</t>
        </is>
      </c>
    </row>
    <row r="109">
      <c r="B109" s="1" t="inlineStr">
        <is>
          <t xml:space="preserve">Minimum turn-on resistor (driver temperature)</t>
        </is>
      </c>
      <c r="C109" s="1" t="inlineStr">
        <is>
          <t xml:space="preserve">R.on.min</t>
        </is>
      </c>
      <c r="D109" s="49">
        <f>CC!$C$103</f>
      </c>
      <c r="E109" s="26" t="inlineStr">
        <is>
          <t xml:space="preserve">Ω</t>
        </is>
      </c>
    </row>
    <row r="110">
      <c r="B110" s="1" t="inlineStr">
        <is>
          <t xml:space="preserve">Select R.on between R.on.min and R.on.max (Value: E12)</t>
        </is>
      </c>
      <c r="C110" s="1" t="inlineStr">
        <is>
          <t xml:space="preserve">R.on</t>
        </is>
      </c>
      <c r="D110" s="49">
        <f>CC!$C$105</f>
      </c>
      <c r="E110" s="26" t="inlineStr">
        <is>
          <t xml:space="preserve">Ω</t>
        </is>
      </c>
      <c r="F110" s="2">
        <v>4.7</v>
      </c>
    </row>
    <row r="111">
      <c r="B111" s="1" t="inlineStr">
        <is>
          <t xml:space="preserve">Maximum turn-off resistor (with D.off, or on GOFF)</t>
        </is>
      </c>
      <c r="C111" s="1" t="inlineStr">
        <is>
          <t xml:space="preserve">R.off.max</t>
        </is>
      </c>
      <c r="D111" s="49">
        <f>CC!$C$123</f>
      </c>
      <c r="E111" s="26" t="inlineStr">
        <is>
          <t xml:space="preserve">Ω</t>
        </is>
      </c>
      <c r="F111" s="2">
        <v>2.2</v>
      </c>
    </row>
    <row r="112">
      <c r="B112" s="1" t="inlineStr">
        <is>
          <t xml:space="preserve">D.off forward voltage (0 = separate GOFF pin, no D.off)</t>
        </is>
      </c>
      <c r="C112" s="1" t="inlineStr">
        <is>
          <t xml:space="preserve">V.F</t>
        </is>
      </c>
      <c r="D112" s="49"/>
      <c r="E112" s="26" t="inlineStr">
        <is>
          <t xml:space="preserve">V</t>
        </is>
      </c>
      <c r="F112" s="2">
        <v>0.7</v>
      </c>
    </row>
    <row r="113">
      <c r="B113" s="1" t="inlineStr">
        <is>
          <t xml:space="preserve">Minimum gate-source capacitor (0 = none needed)</t>
        </is>
      </c>
      <c r="C113" s="1" t="inlineStr">
        <is>
          <t xml:space="preserve">C.gs.min</t>
        </is>
      </c>
      <c r="D113" s="49">
        <f>CC!$C$112</f>
      </c>
      <c r="E113" s="26" t="inlineStr">
        <is>
          <t xml:space="preserve">nF</t>
        </is>
      </c>
      <c r="F113" s="2">
        <v>0</v>
      </c>
    </row>
    <row r="114">
      <c r="B114" s="1" t="inlineStr">
        <is>
          <t xml:space="preserve">Maximum bootstrap capacitor (first LOUT pulse charges it to V.bo.min)</t>
        </is>
      </c>
      <c r="C114" s="1" t="inlineStr">
        <is>
          <t xml:space="preserve">C.boot.max</t>
        </is>
      </c>
      <c r="D114" s="49">
        <f>CC!$C$125</f>
      </c>
      <c r="E114" s="26" t="inlineStr">
        <is>
          <t xml:space="preserve">nF</t>
        </is>
      </c>
    </row>
    <row r="115">
      <c r="B115" s="1" t="inlineStr">
        <is>
          <t xml:space="preserve">Minimum bootstrap capacitor (10 x gate capacitance)</t>
        </is>
      </c>
      <c r="C115" s="1" t="inlineStr">
        <is>
          <t xml:space="preserve">C.boot.min</t>
        </is>
      </c>
      <c r="D115" s="49">
        <f>CC!$C$124</f>
      </c>
      <c r="E115" s="26" t="inlineStr">
        <is>
          <t xml:space="preserve">nF</t>
        </is>
      </c>
    </row>
    <row r="116">
      <c r="B116" s="1" t="inlineStr">
        <is>
          <t xml:space="preserve">Select C.boot between C.boot.min and C.boot.max (Value: E6)</t>
        </is>
      </c>
      <c r="C116" s="1" t="inlineStr">
        <is>
          <t xml:space="preserve">C.boot</t>
        </is>
      </c>
      <c r="D116" s="49">
        <f>CC!$C$126</f>
      </c>
      <c r="E116" s="26" t="inlineStr">
        <is>
          <t xml:space="preserve">nF</t>
        </is>
      </c>
      <c r="F116" s="2">
        <v>470</v>
      </c>
    </row>
    <row r="117">
      <c r="B117" s="1" t="inlineStr">
        <is>
          <t xml:space="preserve">Maximum bootstrap resistor (0 = diode alone)</t>
        </is>
      </c>
      <c r="C117" s="1" t="inlineStr">
        <is>
          <t xml:space="preserve">R.boot.max</t>
        </is>
      </c>
      <c r="D117" s="49">
        <f>CC!$C$128</f>
      </c>
      <c r="E117" s="26" t="inlineStr">
        <is>
          <t xml:space="preserve">Ω</t>
        </is>
      </c>
      <c r="F117" s="2">
        <v>0</v>
      </c>
    </row>
    <row r="118">
      <c r="B118" s="1" t="inlineStr">
        <is>
          <t xml:space="preserve">D.boot forward voltage</t>
        </is>
      </c>
      <c r="C118" s="1" t="inlineStr">
        <is>
          <t xml:space="preserve">V.F.boot</t>
        </is>
      </c>
      <c r="D118" s="49"/>
      <c r="E118" s="26" t="inlineStr">
        <is>
          <t xml:space="preserve">V</t>
        </is>
      </c>
      <c r="F118" s="2">
        <v>1.3</v>
      </c>
    </row>
    <row r="119">
      <c r="B119" s="20" t="inlineStr">
        <is>
          <t xml:space="preserve">Parameters</t>
        </is>
      </c>
      <c r="C119" s="20" t="inlineStr">
        <is>
          <t xml:space="preserve">Name</t>
        </is>
      </c>
      <c r="D119" s="20" t="inlineStr">
        <is>
          <t xml:space="preserve">Value</t>
        </is>
      </c>
      <c r="E119" s="20" t="inlineStr">
        <is>
          <t xml:space="preserve">Unit</t>
        </is>
      </c>
      <c r="F119" s="20" t="inlineStr">
        <is>
          <t xml:space="preserve">Check</t>
        </is>
      </c>
    </row>
    <row r="120">
      <c r="B120" s="1" t="inlineStr">
        <is>
          <t xml:space="preserve">Dead time needed in run (IC ADT 40-420 ns, or the driver t.DT)</t>
        </is>
      </c>
      <c r="C120" s="1" t="inlineStr">
        <is>
          <t xml:space="preserve">t.D.need</t>
        </is>
      </c>
      <c r="D120" s="49">
        <f>CC!$C$117</f>
      </c>
      <c r="E120" s="26" t="inlineStr">
        <is>
          <t xml:space="preserve">ns</t>
        </is>
      </c>
    </row>
    <row r="121">
      <c r="B121" s="1" t="inlineStr">
        <is>
          <t xml:space="preserve">Dead time allowed in run (gate on before the current reverses)</t>
        </is>
      </c>
      <c r="C121" s="1" t="inlineStr">
        <is>
          <t xml:space="preserve">t.D.max</t>
        </is>
      </c>
      <c r="D121" s="49">
        <f>CC!$C$118</f>
      </c>
      <c r="E121" s="26" t="inlineStr">
        <is>
          <t xml:space="preserve">ns</t>
        </is>
      </c>
    </row>
    <row r="122">
      <c r="B122" s="1" t="inlineStr">
        <is>
          <t xml:space="preserve">Dead time margin, need vs. IC / driver and vs. t.D.max (&gt;1)</t>
        </is>
      </c>
      <c r="C122" s="1" t="inlineStr">
        <is>
          <t xml:space="preserve">k.tD</t>
        </is>
      </c>
      <c r="D122" s="49">
        <f>CC!$C$119</f>
      </c>
      <c r="E122" s="26" t="inlineStr">
        <is>
          <t xml:space="preserve">-</t>
        </is>
      </c>
      <c r="F122" s="1">
        <f>IF(D122&gt;=1,"OK","CHECK")</f>
      </c>
    </row>
    <row r="123">
      <c r="B123" s="1" t="inlineStr">
        <is>
          <t xml:space="preserve">Gate voltage at the end of the start-up pulse (&gt;= 10 V)</t>
        </is>
      </c>
      <c r="C123" s="1" t="inlineStr">
        <is>
          <t xml:space="preserve">V.g.su</t>
        </is>
      </c>
      <c r="D123" s="49">
        <f>CC!$C$93</f>
      </c>
      <c r="E123" s="26" t="inlineStr">
        <is>
          <t xml:space="preserve">V</t>
        </is>
      </c>
      <c r="F123" s="1">
        <f>IF(D123&gt;=10,"OK","CHECK")</f>
      </c>
    </row>
    <row r="124">
      <c r="B124" s="1" t="inlineStr">
        <is>
          <t xml:space="preserve">V.BS after the first LOUT pulse (&gt;= V.bo.min)</t>
        </is>
      </c>
      <c r="C124" s="1" t="inlineStr">
        <is>
          <t xml:space="preserve">V.bs.1</t>
        </is>
      </c>
      <c r="D124" s="49">
        <f>CC!$C$129</f>
      </c>
      <c r="E124" s="26" t="inlineStr">
        <is>
          <t xml:space="preserve">V</t>
        </is>
      </c>
      <c r="F124" s="1">
        <f>IF(D124&gt;=D103,"OK","CHECK")</f>
      </c>
    </row>
    <row r="125">
      <c r="B125" s="1" t="inlineStr">
        <is>
          <t xml:space="preserve">V.BS lowest, steady at f.SU</t>
        </is>
      </c>
      <c r="C125" s="1" t="inlineStr">
        <is>
          <t xml:space="preserve">V.bs.min</t>
        </is>
      </c>
      <c r="D125" s="49">
        <f>CC!$C$131</f>
      </c>
      <c r="E125" s="26" t="inlineStr">
        <is>
          <t xml:space="preserve">V</t>
        </is>
      </c>
    </row>
    <row r="126">
      <c r="B126" s="1" t="inlineStr">
        <is>
          <t xml:space="preserve">Gate-off margin against the Miller kick (&gt;1)</t>
        </is>
      </c>
      <c r="C126" s="1" t="inlineStr">
        <is>
          <t xml:space="preserve">k.Miller</t>
        </is>
      </c>
      <c r="D126" s="49">
        <f>CC!$C$111</f>
      </c>
      <c r="E126" s="26" t="inlineStr">
        <is>
          <t xml:space="preserve">-</t>
        </is>
      </c>
      <c r="F126" s="1">
        <f>IF(D126&gt;=1,"OK","CHECK")</f>
      </c>
    </row>
    <row r="127">
      <c r="B127" s="1" t="inlineStr">
        <is>
          <t xml:space="preserve">Maximum driver dissipation at Ta (D73): (Tj.max - Ta) / Rth</t>
        </is>
      </c>
      <c r="C127" s="1" t="inlineStr">
        <is>
          <t xml:space="preserve">P.drv.max</t>
        </is>
      </c>
      <c r="D127" s="49">
        <f>CC!$C$100</f>
      </c>
      <c r="E127" s="26" t="inlineStr">
        <is>
          <t xml:space="preserve">W</t>
        </is>
      </c>
    </row>
    <row r="128">
      <c r="B128" s="1" t="inlineStr">
        <is>
          <t xml:space="preserve">Driver dissipation at f.Max, both sides</t>
        </is>
      </c>
      <c r="C128" s="1" t="inlineStr">
        <is>
          <t xml:space="preserve">P.drv</t>
        </is>
      </c>
      <c r="D128" s="49">
        <f>CC!$C$99</f>
      </c>
      <c r="E128" s="26" t="inlineStr">
        <is>
          <t xml:space="preserve">W</t>
        </is>
      </c>
      <c r="F128" s="1">
        <f>IF(D128&lt;=D127,"OK","CHECK")</f>
      </c>
    </row>
    <row r="129">
      <c r="B129" s="1" t="inlineStr">
        <is>
          <t xml:space="preserve">Driver junction temperature at f.Max and Ta</t>
        </is>
      </c>
      <c r="C129" s="1" t="inlineStr">
        <is>
          <t xml:space="preserve">Tj.drv</t>
        </is>
      </c>
      <c r="D129" s="49">
        <f>CC!$C$134</f>
      </c>
      <c r="E129" s="26" t="inlineStr">
        <is>
          <t xml:space="preserve">˚C</t>
        </is>
      </c>
    </row>
    <row r="130">
      <c r="B130" s="1" t="inlineStr">
        <is>
          <t xml:space="preserve">Highest switching frequency f.SU (&lt;= the driver f.max)</t>
        </is>
      </c>
      <c r="C130" s="1" t="inlineStr">
        <is>
          <t xml:space="preserve">f.SU</t>
        </is>
      </c>
      <c r="D130" s="49">
        <f>'Device Setting'!$D$29</f>
      </c>
      <c r="E130" s="26" t="inlineStr">
        <is>
          <t xml:space="preserve">kHz</t>
        </is>
      </c>
      <c r="F130" s="1">
        <f>IF(D130&lt;=D99,"OK","CHECK")</f>
      </c>
    </row>
    <row r="131">
      <c r="B131" s="1" t="inlineStr">
        <is>
          <t xml:space="preserve">R.on dissipation at f.Max (package rating &gt;= 2x)</t>
        </is>
      </c>
      <c r="C131" s="1" t="inlineStr">
        <is>
          <t xml:space="preserve">P.Ron</t>
        </is>
      </c>
      <c r="D131" s="49">
        <f>CC!$C$132</f>
      </c>
      <c r="E131" s="26" t="inlineStr">
        <is>
          <t xml:space="preserve">W</t>
        </is>
      </c>
    </row>
    <row r="132">
      <c r="B132" s="1" t="inlineStr">
        <is>
          <t xml:space="preserve">R.off dissipation at f.Max (package rating &gt;= 2x)</t>
        </is>
      </c>
      <c r="C132" s="1" t="inlineStr">
        <is>
          <t xml:space="preserve">P.Roff</t>
        </is>
      </c>
      <c r="D132" s="49">
        <f>CC!$C$133</f>
      </c>
      <c r="E132" s="26" t="inlineStr">
        <is>
          <t xml:space="preserve">W</t>
        </is>
      </c>
    </row>
    <row r="133" spans="2:14" ht="18" customHeight="1">
      <c r="B133"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133" s="19"/>
      <c r="F133" s="76"/>
      <c r="G133" s="76"/>
      <c r="H133" s="76"/>
      <c r="I133" s="76"/>
      <c r="J133" s="76"/>
      <c r="K133" s="76"/>
      <c r="L133" s="76"/>
      <c r="M133" s="76"/>
      <c r="N133" s="76"/>
    </row>
    <row r="134" spans="2:14" ht="14.25" customHeight="1">
      <c r="B134" s="1"/>
      <c r="C134" s="1"/>
      <c r="D134" s="77"/>
      <c r="E134" s="1"/>
      <c r="F134" s="76"/>
      <c r="G134" s="76"/>
      <c r="H134" s="76"/>
      <c r="I134" s="76"/>
      <c r="J134" s="76"/>
      <c r="K134" s="76"/>
      <c r="L134" s="76"/>
      <c r="M134" s="76"/>
      <c r="N134" s="76"/>
    </row>
    <row r="135" spans="2:14" ht="15.75" customHeight="1">
      <c r="B135" s="20" t="s">
        <v>356</v>
      </c>
      <c r="C135" s="20" t="s">
        <v>132</v>
      </c>
      <c r="D135" s="20" t="s">
        <v>133</v>
      </c>
      <c r="E135" s="20" t="s">
        <v>431</v>
      </c>
      <c r="F135" s="76"/>
      <c r="G135" s="76"/>
      <c r="H135" s="76"/>
      <c r="I135" s="76"/>
      <c r="J135" s="76"/>
      <c r="K135" s="76"/>
      <c r="L135" s="76"/>
      <c r="M135" s="76"/>
      <c r="N135" s="76"/>
    </row>
    <row r="136" spans="2:14" ht="15" customHeight="1">
      <c r="B136" s="1" t="s">
        <v>1086</v>
      </c>
      <c r="C136" s="1" t="s">
        <v>1187</v>
      </c>
      <c r="D136" s="49">
        <f>CC!J25</f>
        <v>28.329125161562832</v>
      </c>
      <c r="E136" s="1" t="s">
        <v>237</v>
      </c>
      <c r="F136" s="65"/>
      <c r="G136" s="76"/>
      <c r="H136" s="76"/>
      <c r="I136" s="76"/>
      <c r="J136" s="76"/>
      <c r="K136" s="76"/>
      <c r="L136" s="76"/>
      <c r="M136" s="76"/>
      <c r="N136" s="76"/>
    </row>
    <row r="137" spans="2:14" ht="15" customHeight="1">
      <c r="B137" s="1" t="s">
        <v>1087</v>
      </c>
      <c r="C137" s="1" t="s">
        <v>1188</v>
      </c>
      <c r="D137" s="49">
        <f>CC!J26</f>
        <v>28.329125161562832</v>
      </c>
      <c r="E137" s="1" t="s">
        <v>237</v>
      </c>
      <c r="F137" s="65"/>
      <c r="G137" s="76"/>
      <c r="H137" s="76"/>
      <c r="I137" s="76"/>
      <c r="J137" s="76"/>
      <c r="K137" s="76"/>
      <c r="L137" s="76"/>
      <c r="M137" s="76"/>
      <c r="N137" s="76"/>
    </row>
    <row r="138" spans="2:14" ht="15" customHeight="1">
      <c r="B138" s="1" t="s">
        <v>1088</v>
      </c>
      <c r="C138" s="1" t="s">
        <v>432</v>
      </c>
      <c r="D138" s="49">
        <f>CC!E24</f>
        <v>98.617963506893403</v>
      </c>
      <c r="E138" s="1" t="s">
        <v>237</v>
      </c>
      <c r="F138" s="76"/>
      <c r="G138" s="76"/>
      <c r="H138" s="76"/>
      <c r="I138" s="76"/>
      <c r="J138" s="76"/>
      <c r="K138" s="76"/>
      <c r="L138" s="76"/>
      <c r="M138" s="76"/>
      <c r="N138" s="76"/>
    </row>
    <row r="139" spans="2:14" ht="15" customHeight="1">
      <c r="B139" s="1" t="s">
        <v>1089</v>
      </c>
      <c r="C139" s="1" t="s">
        <v>1090</v>
      </c>
      <c r="D139" s="49">
        <f>IF(ISNUMBER(F137),F137,D137)/D155</f>
        <v>14.164562580781416</v>
      </c>
      <c r="E139" s="1" t="s">
        <v>237</v>
      </c>
      <c r="F139" s="76"/>
      <c r="G139" s="76"/>
      <c r="H139" s="76"/>
      <c r="I139" s="76"/>
      <c r="J139" s="76"/>
      <c r="K139" s="76"/>
      <c r="L139" s="76"/>
      <c r="M139" s="76"/>
      <c r="N139" s="76"/>
    </row>
    <row r="140" spans="2:14" ht="15" customHeight="1">
      <c r="B140" s="20" t="s">
        <v>356</v>
      </c>
      <c r="C140" s="20" t="s">
        <v>132</v>
      </c>
      <c r="D140" s="20" t="s">
        <v>133</v>
      </c>
      <c r="E140" s="20" t="s">
        <v>431</v>
      </c>
      <c r="F140" s="76"/>
      <c r="G140" s="76"/>
      <c r="H140" s="76"/>
      <c r="I140" s="76"/>
      <c r="J140" s="76"/>
      <c r="K140" s="76"/>
      <c r="L140" s="76"/>
      <c r="M140" s="76"/>
      <c r="N140" s="76"/>
    </row>
    <row r="141" spans="2:14" ht="15" customHeight="1">
      <c r="B141" s="1" t="s">
        <v>1091</v>
      </c>
      <c r="C141" s="1" t="s">
        <v>415</v>
      </c>
      <c r="D141" s="49">
        <f>1.2*2*'Design Spec'!$D$95/'Design Spec'!$D$107</f>
        <v>60</v>
      </c>
      <c r="E141" s="1" t="s">
        <v>150</v>
      </c>
      <c r="F141" s="76"/>
      <c r="G141" s="76"/>
      <c r="H141" s="76"/>
      <c r="I141" s="76"/>
      <c r="J141" s="76"/>
      <c r="K141" s="76"/>
      <c r="L141" s="76"/>
      <c r="M141" s="76"/>
      <c r="N141" s="76"/>
    </row>
    <row r="142" spans="2:14" ht="14.25" customHeight="1">
      <c r="B142" s="1" t="s">
        <v>1092</v>
      </c>
      <c r="C142" s="1" t="s">
        <v>416</v>
      </c>
      <c r="D142" s="49">
        <f>1.2*D138</f>
        <v>118.34155620827208</v>
      </c>
      <c r="E142" s="1" t="s">
        <v>237</v>
      </c>
      <c r="F142" s="76"/>
      <c r="G142" s="76"/>
      <c r="H142" s="76"/>
      <c r="I142" s="76"/>
      <c r="J142" s="76"/>
      <c r="K142" s="76"/>
      <c r="L142" s="76"/>
      <c r="M142" s="76"/>
      <c r="N142" s="76"/>
    </row>
    <row r="143" spans="2:14" ht="14.25" customHeight="1">
      <c r="B143" s="1" t="s">
        <v>1093</v>
      </c>
      <c r="C143" s="1" t="s">
        <v>1094</v>
      </c>
      <c r="D143" s="49">
        <f>D138/D155</f>
        <v>49.308981753446702</v>
      </c>
      <c r="E143" s="1" t="s">
        <v>237</v>
      </c>
      <c r="F143" s="76"/>
      <c r="G143" s="76"/>
      <c r="H143" s="76"/>
      <c r="I143" s="76"/>
      <c r="J143" s="76"/>
      <c r="K143" s="76"/>
      <c r="L143" s="76"/>
      <c r="M143" s="76"/>
      <c r="N143" s="76"/>
    </row>
    <row r="144" spans="2:14" ht="15.75" customHeight="1">
      <c r="B144" s="20" t="s">
        <v>417</v>
      </c>
      <c r="C144" s="202" t="inlineStr">
        <is>
          <t xml:space="preserve">STL160N10F8</t>
        </is>
      </c>
      <c r="D144" s="202"/>
      <c r="E144" s="202"/>
      <c r="F144" s="76"/>
      <c r="G144" s="76"/>
      <c r="H144" s="76"/>
      <c r="I144" s="76"/>
      <c r="J144" s="76"/>
      <c r="K144" s="76"/>
      <c r="L144" s="76"/>
      <c r="M144" s="76"/>
      <c r="N144" s="76"/>
    </row>
    <row r="145" spans="2:14" ht="14.25" customHeight="1">
      <c r="B145" s="1" t="s">
        <v>1095</v>
      </c>
      <c r="C145" s="1" t="s">
        <v>1096</v>
      </c>
      <c r="D145" s="2">
        <v>2</v>
      </c>
      <c r="E145" s="26" t="s">
        <v>181</v>
      </c>
      <c r="F145" s="76"/>
    </row>
    <row r="146" spans="2:14" ht="15.75" customHeight="1">
      <c r="B146" s="20" t="s">
        <v>356</v>
      </c>
      <c r="C146" s="20" t="s">
        <v>132</v>
      </c>
      <c r="D146" s="20" t="s">
        <v>133</v>
      </c>
      <c r="E146" s="20" t="s">
        <v>134</v>
      </c>
    </row>
    <row r="147" spans="2:14" ht="14.25" customHeight="1">
      <c r="B147" s="1" t="s">
        <v>1097</v>
      </c>
      <c r="C147" s="1" t="s">
        <v>403</v>
      </c>
      <c r="D147" s="2">
        <v>0</v>
      </c>
      <c r="E147" s="1" t="s">
        <v>150</v>
      </c>
    </row>
    <row r="148" spans="2:5" ht="15" customHeight="1">
      <c r="B148" s="1" t="s">
        <v>1219</v>
      </c>
      <c r="C148" s="1" t="s">
        <v>433</v>
      </c>
      <c r="D148" s="2">
        <v>0.0032</v>
      </c>
      <c r="E148" s="26" t="s">
        <v>175</v>
      </c>
    </row>
    <row r="149" spans="2:5" ht="15" customHeight="1">
      <c r="B149" s="1" t="s">
        <v>423</v>
      </c>
      <c r="C149" s="1" t="s">
        <v>424</v>
      </c>
      <c r="D149" s="2">
        <v>25</v>
      </c>
      <c r="E149" s="26" t="s">
        <v>425</v>
      </c>
    </row>
    <row r="150" spans="2:5" ht="15">
      <c r="B150" s="1" t="s">
        <v>1217</v>
      </c>
      <c r="C150" s="1" t="s">
        <v>1098</v>
      </c>
      <c r="D150" s="2">
        <v>1.5</v>
      </c>
      <c r="E150" s="26" t="s">
        <v>181</v>
      </c>
    </row>
    <row r="151" spans="2:5" ht="15.75" customHeight="1">
      <c r="B151" s="20" t="s">
        <v>356</v>
      </c>
      <c r="C151" s="20" t="s">
        <v>132</v>
      </c>
      <c r="D151" s="20" t="s">
        <v>133</v>
      </c>
      <c r="E151" s="20" t="s">
        <v>134</v>
      </c>
    </row>
    <row r="152" spans="2:5" ht="14.25" customHeight="1">
      <c r="B152" s="1" t="s">
        <v>1084</v>
      </c>
      <c r="C152" s="1" t="s">
        <v>434</v>
      </c>
      <c r="D152" s="49">
        <f>IF(D145=2,0,0.5*D147*'Preliminary Calculation'!D7/D155)+D148*D150*D139^2</f>
        <v>1.4104628767272578</v>
      </c>
      <c r="E152" s="1" t="s">
        <v>161</v>
      </c>
    </row>
    <row r="153" spans="2:5" ht="15" customHeight="1">
      <c r="B153" s="1" t="s">
        <v>1099</v>
      </c>
      <c r="C153" s="1" t="s">
        <v>429</v>
      </c>
      <c r="D153" s="49">
        <f>(125-D149)/D152</f>
        <v>70.898711089818406</v>
      </c>
      <c r="E153" s="1" t="s">
        <v>430</v>
      </c>
    </row>
    <row r="154" spans="2:5" ht="14.25" customHeight="1">
      <c r="B154" s="1" t="s">
        <v>1100</v>
      </c>
      <c r="C154" s="1" t="s">
        <v>435</v>
      </c>
      <c r="D154" s="49">
        <f>D152*D155*2*'Design Spec'!$D$107</f>
        <v>5.6418515069090311</v>
      </c>
      <c r="E154" s="1" t="s">
        <v>161</v>
      </c>
    </row>
    <row r="155" spans="2:5" ht="15">
      <c r="B155" s="1" t="s">
        <v>1101</v>
      </c>
      <c r="C155" s="1" t="s">
        <v>1102</v>
      </c>
      <c r="D155" s="2">
        <v>2</v>
      </c>
      <c r="E155" s="26" t="s">
        <v>181</v>
      </c>
    </row>
    <row r="156" spans="2:5" ht="18" customHeight="1">
      <c r="B156" s="28" t="s">
        <v>436</v>
      </c>
      <c r="C156" s="28" t="s">
        <v>437</v>
      </c>
      <c r="D156" s="78"/>
      <c r="E156" s="79"/>
    </row>
    <row r="157" spans="2:5" ht="14.25" customHeight="1">
      <c r="B157" s="80"/>
      <c r="C157" s="80"/>
      <c r="E157" s="81"/>
    </row>
    <row r="158" spans="2:5" ht="14.25" customHeight="1">
      <c r="B158" s="80"/>
      <c r="C158" s="80"/>
      <c r="E158" s="81"/>
    </row>
    <row r="159" spans="2:5" ht="14.25" customHeight="1">
      <c r="B159" s="80"/>
      <c r="C159" s="80"/>
      <c r="E159" s="81"/>
    </row>
    <row r="160" spans="2:5" ht="14.25" customHeight="1">
      <c r="B160" s="80"/>
      <c r="C160" s="80"/>
      <c r="E160" s="81"/>
    </row>
    <row r="161" spans="2:5" ht="14.25" customHeight="1">
      <c r="B161" s="80"/>
      <c r="C161" s="80"/>
      <c r="E161" s="81"/>
    </row>
    <row r="162" spans="2:5" ht="14.25" customHeight="1">
      <c r="B162" s="80"/>
      <c r="C162" s="80"/>
      <c r="E162" s="81"/>
    </row>
    <row r="163" spans="2:5" ht="14.25" customHeight="1">
      <c r="B163" s="80"/>
      <c r="C163" s="80"/>
      <c r="E163" s="81"/>
    </row>
    <row r="164" spans="2:5" ht="14.25" customHeight="1">
      <c r="B164" s="80"/>
      <c r="C164" s="80"/>
      <c r="E164" s="81"/>
    </row>
    <row r="165" spans="2:5" ht="14.25" customHeight="1">
      <c r="B165" s="80"/>
      <c r="C165" s="80"/>
      <c r="E165" s="81"/>
    </row>
    <row r="166" spans="2:5" ht="14.25" customHeight="1">
      <c r="B166" s="80"/>
      <c r="C166" s="80"/>
      <c r="E166" s="81"/>
    </row>
    <row r="167" spans="2:5" ht="14.25" customHeight="1">
      <c r="B167" s="80"/>
      <c r="C167" s="80"/>
      <c r="E167" s="81"/>
    </row>
    <row r="168" spans="2:5" ht="14.25" customHeight="1">
      <c r="B168" s="80"/>
      <c r="C168" s="80"/>
      <c r="E168" s="81"/>
    </row>
    <row r="169" spans="2:5" ht="14.25" customHeight="1">
      <c r="B169" s="80"/>
      <c r="C169" s="80"/>
      <c r="E169" s="81"/>
    </row>
    <row r="170" spans="2:5" ht="14.25" customHeight="1">
      <c r="B170" s="80"/>
      <c r="C170" s="80"/>
      <c r="E170" s="81"/>
    </row>
    <row r="171" spans="2:5" ht="14.25" customHeight="1">
      <c r="B171" s="82"/>
      <c r="C171" s="82"/>
      <c r="D171" s="83"/>
      <c r="E171" s="84"/>
    </row>
  </sheetData>
  <mergeCells count="4">
    <mergeCell ref="C89:E89"/>
    <mergeCell ref="C50:E50"/>
    <mergeCell ref="C67:E67"/>
    <mergeCell ref="C144:E144"/>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21.5</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8" ht="16.5" customHeight="1">
      <c r="B57" s="1" t="s">
        <v>505</v>
      </c>
      <c r="C57" s="1" t="s">
        <v>506</v>
      </c>
      <c r="D57" s="2">
        <v>75</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8" ht="16.5" customHeight="1">
      <c r="B61" s="1" t="s">
        <v>509</v>
      </c>
      <c r="C61" s="1" t="s">
        <v>510</v>
      </c>
      <c r="D61" s="1">
        <f>16.7*(D57*D46*(10^-3))</f>
        <v>30.06</v>
      </c>
      <c r="E61" s="1" t="s">
        <v>452</v>
      </c>
      <c r="F61" s="2">
        <v>30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1.0</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220.0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30</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12.05085</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s">
        <v>584</v>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0.8</v>
      </c>
      <c r="E23" s="1" t="s">
        <v>455</v>
      </c>
      <c r="H23" s="109"/>
      <c r="K23" s="110"/>
    </row>
    <row r="24" spans="2:11" ht="14.25" customHeight="1">
      <c r="B24" s="25"/>
      <c r="C24" s="25"/>
      <c r="D24" s="25"/>
      <c r="E24" s="25"/>
      <c r="H24" s="109"/>
      <c r="K24" s="110"/>
    </row>
    <row r="25" spans="2:11" ht="15" customHeight="1">
      <c r="B25" s="69" t="s">
        <v>589</v>
      </c>
      <c r="C25" s="202" t="s">
        <v>1200</v>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11" ht="14.25" customHeight="1">
      <c r="B28" s="1" t="s">
        <v>590</v>
      </c>
      <c r="C28" s="1" t="s">
        <v>591</v>
      </c>
      <c r="D28" s="2">
        <v>1.1499999999999999</v>
      </c>
      <c r="E28" s="1" t="s">
        <v>150</v>
      </c>
    </row>
    <row r="29" spans="2:11" ht="14.25" customHeight="1">
      <c r="B29" s="1" t="s">
        <v>592</v>
      </c>
      <c r="C29" s="1" t="s">
        <v>593</v>
      </c>
      <c r="D29" s="2">
        <v>0.37</v>
      </c>
      <c r="E29" s="1"/>
    </row>
    <row r="30" spans="2:11" ht="14.25" customHeight="1">
      <c r="B30" s="1" t="s">
        <v>594</v>
      </c>
      <c r="C30" s="1" t="s">
        <v>595</v>
      </c>
      <c r="D30" s="2">
        <v>3</v>
      </c>
      <c r="E30" s="1" t="s">
        <v>200</v>
      </c>
    </row>
    <row r="31" spans="2:11" ht="14.25" customHeight="1">
      <c r="B31" s="1" t="s">
        <v>596</v>
      </c>
      <c r="C31" s="1" t="s">
        <v>597</v>
      </c>
      <c r="D31" s="2">
        <v>0.53</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6.2</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82</v>
      </c>
      <c r="G93" s="125"/>
    </row>
    <row r="94" spans="2:7" ht="14.25" customHeight="1">
      <c r="B94" s="1" t="s">
        <v>666</v>
      </c>
      <c r="C94" s="1" t="s">
        <v>667</v>
      </c>
      <c r="D94" s="49">
        <f>IF(F93,F93,D93)*((D85/D86)-1)</f>
        <v>525.49155297423772</v>
      </c>
      <c r="E94" s="1" t="s">
        <v>200</v>
      </c>
      <c r="F94" s="2">
        <v>560</v>
      </c>
      <c r="G94" s="125"/>
    </row>
    <row r="95" spans="2:7" ht="14.25" customHeight="1">
      <c r="B95" s="1" t="s">
        <v>668</v>
      </c>
      <c r="C95" s="54" t="s">
        <v>669</v>
      </c>
      <c r="D95" s="55">
        <f>1/(2*PI()*(D86*IF(F94,F94,D94)*(10^-9)))/1000</f>
        <v>45.715337710116671</v>
      </c>
      <c r="E95" s="54" t="s">
        <v>452</v>
      </c>
      <c r="F95" s="2">
        <v>47</v>
      </c>
      <c r="G95" s="125"/>
    </row>
    <row r="96" spans="2:7" ht="14.25" customHeight="1">
      <c r="B96" s="1" t="s">
        <v>670</v>
      </c>
      <c r="C96" s="1" t="s">
        <v>671</v>
      </c>
      <c r="D96" s="55">
        <f>((1/(2*PI()*D87*D17*1000))-(D30*10^-9))*(10^9)</f>
        <v>1.5472840883398662</v>
      </c>
      <c r="E96" s="1" t="s">
        <v>200</v>
      </c>
      <c r="F96" s="2">
        <v>1.55</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47</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Components'!$C$144</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134"/>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row r="59">
      <c r="B59" s="10" t="inlineStr">
        <is>
          <t xml:space="preserve">Peak tank current vs load @ Vin.min line peak - feeds Res. Tank Design 73-79</t>
        </is>
      </c>
    </row>
    <row r="60">
      <c r="B60" s="10" t="inlineStr">
        <is>
          <t xml:space="preserve">load</t>
        </is>
      </c>
      <c r="C60" s="10">
        <v>0</v>
      </c>
      <c r="D60" s="10">
        <v>0.25</v>
      </c>
      <c r="E60" s="10">
        <v>0.5</v>
      </c>
      <c r="F60" s="10">
        <v>0.75</v>
      </c>
      <c r="G60" s="10">
        <v>1</v>
      </c>
    </row>
    <row r="61">
      <c r="B61" s="10" t="inlineStr">
        <is>
          <t xml:space="preserve">Q = Q.pk x load</t>
        </is>
      </c>
      <c r="C61" s="87">
        <f>('Res. Tank Design'!$D$52/'Res. Tank Design'!$D$17)*C60</f>
      </c>
      <c r="D61" s="87">
        <f>('Res. Tank Design'!$D$52/'Res. Tank Design'!$D$17)*D60</f>
      </c>
      <c r="E61" s="87">
        <f>('Res. Tank Design'!$D$52/'Res. Tank Design'!$D$17)*E60</f>
      </c>
      <c r="F61" s="87">
        <f>('Res. Tank Design'!$D$52/'Res. Tank Design'!$D$17)*F60</f>
      </c>
      <c r="G61" s="87">
        <f>('Res. Tank Design'!$D$52/'Res. Tank Design'!$D$17)*G60</f>
      </c>
    </row>
    <row r="62">
      <c r="B62" s="10" t="inlineStr">
        <is>
          <t xml:space="preserve">a2  (cubic in x = 1/fn^2)</t>
        </is>
      </c>
      <c r="C62" s="87">
        <f>(C61^2-2*'Res. Tank Design'!$D$50*(1+'Res. Tank Design'!$D$50))/'Res. Tank Design'!$D$50^2</f>
      </c>
      <c r="D62" s="87">
        <f>(D61^2-2*'Res. Tank Design'!$D$50*(1+'Res. Tank Design'!$D$50))/'Res. Tank Design'!$D$50^2</f>
      </c>
      <c r="E62" s="87">
        <f>(E61^2-2*'Res. Tank Design'!$D$50*(1+'Res. Tank Design'!$D$50))/'Res. Tank Design'!$D$50^2</f>
      </c>
      <c r="F62" s="87">
        <f>(F61^2-2*'Res. Tank Design'!$D$50*(1+'Res. Tank Design'!$D$50))/'Res. Tank Design'!$D$50^2</f>
      </c>
      <c r="G62" s="87">
        <f>(G61^2-2*'Res. Tank Design'!$D$50*(1+'Res. Tank Design'!$D$50))/'Res. Tank Design'!$D$50^2</f>
      </c>
    </row>
    <row r="63">
      <c r="B63" s="10" t="inlineStr">
        <is>
          <t xml:space="preserve">a1</t>
        </is>
      </c>
      <c r="C63" s="87">
        <f>((1+'Res. Tank Design'!$D$50)^2-2*C61^2-1/'Res. Tank Design'!$D$10^2)/'Res. Tank Design'!$D$50^2</f>
      </c>
      <c r="D63" s="87">
        <f>((1+'Res. Tank Design'!$D$50)^2-2*D61^2-1/'Res. Tank Design'!$D$10^2)/'Res. Tank Design'!$D$50^2</f>
      </c>
      <c r="E63" s="87">
        <f>((1+'Res. Tank Design'!$D$50)^2-2*E61^2-1/'Res. Tank Design'!$D$10^2)/'Res. Tank Design'!$D$50^2</f>
      </c>
      <c r="F63" s="87">
        <f>((1+'Res. Tank Design'!$D$50)^2-2*F61^2-1/'Res. Tank Design'!$D$10^2)/'Res. Tank Design'!$D$50^2</f>
      </c>
      <c r="G63" s="87">
        <f>((1+'Res. Tank Design'!$D$50)^2-2*G61^2-1/'Res. Tank Design'!$D$10^2)/'Res. Tank Design'!$D$50^2</f>
      </c>
    </row>
    <row r="64">
      <c r="B64" s="10" t="inlineStr">
        <is>
          <t xml:space="preserve">a0</t>
        </is>
      </c>
      <c r="C64" s="87">
        <f>C61^2/'Res. Tank Design'!$D$50^2</f>
      </c>
      <c r="D64" s="87">
        <f>D61^2/'Res. Tank Design'!$D$50^2</f>
      </c>
      <c r="E64" s="87">
        <f>E61^2/'Res. Tank Design'!$D$50^2</f>
      </c>
      <c r="F64" s="87">
        <f>F61^2/'Res. Tank Design'!$D$50^2</f>
      </c>
      <c r="G64" s="87">
        <f>G61^2/'Res. Tank Design'!$D$50^2</f>
      </c>
    </row>
    <row r="65">
      <c r="B65" s="10" t="inlineStr">
        <is>
          <t xml:space="preserve">p</t>
        </is>
      </c>
      <c r="C65" s="87">
        <f>C63-C62^2/3</f>
      </c>
      <c r="D65" s="87">
        <f>D63-D62^2/3</f>
      </c>
      <c r="E65" s="87">
        <f>E63-E62^2/3</f>
      </c>
      <c r="F65" s="87">
        <f>F63-F62^2/3</f>
      </c>
      <c r="G65" s="87">
        <f>G63-G62^2/3</f>
      </c>
    </row>
    <row r="66">
      <c r="B66" s="10" t="inlineStr">
        <is>
          <t xml:space="preserve">q</t>
        </is>
      </c>
      <c r="C66" s="87">
        <f>2*C62^3/27-C62*C63/3+C64</f>
      </c>
      <c r="D66" s="87">
        <f>2*D62^3/27-D62*D63/3+D64</f>
      </c>
      <c r="E66" s="87">
        <f>2*E62^3/27-E62*E63/3+E64</f>
      </c>
      <c r="F66" s="87">
        <f>2*F62^3/27-F62*F63/3+F64</f>
      </c>
      <c r="G66" s="87">
        <f>2*G62^3/27-G62*G63/3+G64</f>
      </c>
    </row>
    <row r="67">
      <c r="B67" s="10" t="inlineStr">
        <is>
          <t xml:space="preserve">fn (middle root)</t>
        </is>
      </c>
      <c r="C67" s="87">
        <f>1/SQRT(2*SQRT(-C65/3)*COS(ACOS(3*C66/(2*C65)*SQRT(-3/C65))/3-2*PI()/3)-C62/3)</f>
      </c>
      <c r="D67" s="87">
        <f>1/SQRT(2*SQRT(-D65/3)*COS(ACOS(3*D66/(2*D65)*SQRT(-3/D65))/3-2*PI()/3)-D62/3)</f>
      </c>
      <c r="E67" s="87">
        <f>1/SQRT(2*SQRT(-E65/3)*COS(ACOS(3*E66/(2*E65)*SQRT(-3/E65))/3-2*PI()/3)-E62/3)</f>
      </c>
      <c r="F67" s="87">
        <f>1/SQRT(2*SQRT(-F65/3)*COS(ACOS(3*F66/(2*F65)*SQRT(-3/F65))/3-2*PI()/3)-F62/3)</f>
      </c>
      <c r="G67" s="87">
        <f>1/SQRT(2*SQRT(-G65/3)*COS(ACOS(3*G66/(2*G65)*SQRT(-3/G65))/3-2*PI()/3)-G62/3)</f>
      </c>
    </row>
    <row r="68">
      <c r="B68" s="10" t="inlineStr">
        <is>
          <t xml:space="preserve">fsw</t>
        </is>
      </c>
      <c r="C68" s="87">
        <f>C67*'Res. Tank Design'!$D$55</f>
      </c>
      <c r="D68" s="87">
        <f>D67*'Res. Tank Design'!$D$55</f>
      </c>
      <c r="E68" s="87">
        <f>E67*'Res. Tank Design'!$D$55</f>
      </c>
      <c r="F68" s="87">
        <f>F67*'Res. Tank Design'!$D$55</f>
      </c>
      <c r="G68" s="87">
        <f>G67*'Res. Tank Design'!$D$55</f>
      </c>
    </row>
    <row r="69">
      <c r="B69" s="10" t="inlineStr">
        <is>
          <t xml:space="preserve">Itrafo.pk</t>
        </is>
      </c>
      <c r="C69" s="87">
        <f>PI()*('Res. Tank Design'!$D$55/C68)*2*'Preliminary Calculation'!$D$7*C60/(1-COS(PI()*'Res. Tank Design'!$D$55/MAX(C68,'Res. Tank Design'!$D$55)))/'Res. Tank Design'!$D$42</f>
      </c>
      <c r="D69" s="87">
        <f>PI()*('Res. Tank Design'!$D$55/D68)*2*'Preliminary Calculation'!$D$7*D60/(1-COS(PI()*'Res. Tank Design'!$D$55/MAX(D68,'Res. Tank Design'!$D$55)))/'Res. Tank Design'!$D$42</f>
      </c>
      <c r="E69" s="87">
        <f>PI()*('Res. Tank Design'!$D$55/E68)*2*'Preliminary Calculation'!$D$7*E60/(1-COS(PI()*'Res. Tank Design'!$D$55/MAX(E68,'Res. Tank Design'!$D$55)))/'Res. Tank Design'!$D$42</f>
      </c>
      <c r="F69" s="87">
        <f>PI()*('Res. Tank Design'!$D$55/F68)*2*'Preliminary Calculation'!$D$7*F60/(1-COS(PI()*'Res. Tank Design'!$D$55/MAX(F68,'Res. Tank Design'!$D$55)))/'Res. Tank Design'!$D$42</f>
      </c>
      <c r="G69" s="87">
        <f>PI()*('Res. Tank Design'!$D$55/G68)*2*'Preliminary Calculation'!$D$7*G60/(1-COS(PI()*'Res. Tank Design'!$D$55/MAX(G68,'Res. Tank Design'!$D$55)))/'Res. Tank Design'!$D$42</f>
      </c>
    </row>
    <row r="70">
      <c r="B70" s="10" t="inlineStr">
        <is>
          <t xml:space="preserve">Ilm.pk (trapezoidal)</t>
        </is>
      </c>
      <c r="C70" s="87">
        <f>0.25*'Res. Tank Design'!$D$42*('Design Spec'!$D$95+'Design Spec'!$D$107*'Design Spec'!$D$106)/(IF('Res. Tank Design'!$F$45,'Res. Tank Design'!$F$45,'Res. Tank Design'!$D$45)*10^(-6)*MAX(C68,'Res. Tank Design'!$D$55)*1000)</f>
      </c>
      <c r="D70" s="87">
        <f>0.25*'Res. Tank Design'!$D$42*('Design Spec'!$D$95+'Design Spec'!$D$107*'Design Spec'!$D$106)/(IF('Res. Tank Design'!$F$45,'Res. Tank Design'!$F$45,'Res. Tank Design'!$D$45)*10^(-6)*MAX(D68,'Res. Tank Design'!$D$55)*1000)</f>
      </c>
      <c r="E70" s="87">
        <f>0.25*'Res. Tank Design'!$D$42*('Design Spec'!$D$95+'Design Spec'!$D$107*'Design Spec'!$D$106)/(IF('Res. Tank Design'!$F$45,'Res. Tank Design'!$F$45,'Res. Tank Design'!$D$45)*10^(-6)*MAX(E68,'Res. Tank Design'!$D$55)*1000)</f>
      </c>
      <c r="F70" s="87">
        <f>0.25*'Res. Tank Design'!$D$42*('Design Spec'!$D$95+'Design Spec'!$D$107*'Design Spec'!$D$106)/(IF('Res. Tank Design'!$F$45,'Res. Tank Design'!$F$45,'Res. Tank Design'!$D$45)*10^(-6)*MAX(F68,'Res. Tank Design'!$D$55)*1000)</f>
      </c>
      <c r="G70" s="87">
        <f>0.25*'Res. Tank Design'!$D$42*('Design Spec'!$D$95+'Design Spec'!$D$107*'Design Spec'!$D$106)/(IF('Res. Tank Design'!$F$45,'Res. Tank Design'!$F$45,'Res. Tank Design'!$D$45)*10^(-6)*MAX(G68,'Res. Tank Design'!$D$55)*1000)</f>
      </c>
    </row>
    <row r="71">
      <c r="B71" s="10" t="inlineStr">
        <is>
          <t xml:space="preserve">r.mix = 2 Ilm / (pi Itrafo)</t>
        </is>
      </c>
      <c r="C71" s="87">
        <f>IF(C69&gt;0,2*C70/(PI()*C69),1E+9)</f>
      </c>
      <c r="D71" s="87">
        <f>IF(D69&gt;0,2*D70/(PI()*D69),1E+9)</f>
      </c>
      <c r="E71" s="87">
        <f>IF(E69&gt;0,2*E70/(PI()*E69),1E+9)</f>
      </c>
      <c r="F71" s="87">
        <f>IF(F69&gt;0,2*F70/(PI()*F69),1E+9)</f>
      </c>
      <c r="G71" s="87">
        <f>IF(G69&gt;0,2*G70/(PI()*G69),1E+9)</f>
      </c>
    </row>
    <row r="72">
      <c r="B72" s="10" t="inlineStr">
        <is>
          <t xml:space="preserve">Ilr.pk (composite)</t>
        </is>
      </c>
      <c r="C72" s="87">
        <f>IF(C71&gt;=1,C70,C70*(2*ACOS(-C71)/PI()-1)+C69*SQRT(1-C71^2))</f>
      </c>
      <c r="D72" s="87">
        <f>IF(D71&gt;=1,D70,D70*(2*ACOS(-D71)/PI()-1)+D69*SQRT(1-D71^2))</f>
      </c>
      <c r="E72" s="87">
        <f>IF(E71&gt;=1,E70,E70*(2*ACOS(-E71)/PI()-1)+E69*SQRT(1-E71^2))</f>
      </c>
      <c r="F72" s="87">
        <f>IF(F71&gt;=1,F70,F70*(2*ACOS(-F71)/PI()-1)+F69*SQRT(1-F71^2))</f>
      </c>
      <c r="G72" s="87">
        <f>IF(G71&gt;=1,G70,G70*(2*ACOS(-G71)/PI()-1)+G69*SQRT(1-G71^2))</f>
      </c>
    </row>
    <row r="74">
      <c r="B74" s="10" t="inlineStr">
        <is>
          <t xml:space="preserve">Ilm.pk @ line zero crossing (f.Min, any load)</t>
        </is>
      </c>
      <c r="C74" s="87">
        <f>0.25*'Res. Tank Design'!$D$42*('Design Spec'!$D$95+'Design Spec'!$D$107*'Design Spec'!$D$106)/(IF('Res. Tank Design'!$F$45,'Res. Tank Design'!$F$45,'Res. Tank Design'!$D$45)*10^(-6)*MAX('Device Setting'!$D$28,'Res. Tank Design'!$D$55)*1000)</f>
      </c>
    </row>
    <row r="77">
      <c r="B77" s="10" t="inlineStr">
        <is>
          <t xml:space="preserve">Gate drive working - feeds Power Components 76-82 and 88-132</t>
        </is>
      </c>
    </row>
    <row r="78">
      <c r="B78" s="10" t="inlineStr">
        <is>
          <t xml:space="preserve">L6790A dead time at start-up, before ADT (DS gives none) [assumed]</t>
        </is>
      </c>
      <c r="C78" s="2">
        <v>420</v>
      </c>
      <c r="D78" s="10" t="inlineStr">
        <is>
          <t xml:space="preserve">ns</t>
        </is>
      </c>
    </row>
    <row r="79">
      <c r="B79" s="10" t="inlineStr">
        <is>
          <t xml:space="preserve">L6790A highest FB bus = HB/FB morphing threshold (DS V.HVPK_BOH)</t>
        </is>
      </c>
      <c r="C79" s="2">
        <v>235</v>
      </c>
      <c r="D79" s="10" t="inlineStr">
        <is>
          <t xml:space="preserve">V</t>
        </is>
      </c>
    </row>
    <row r="80">
      <c r="B80" s="10" t="inlineStr">
        <is>
          <t xml:space="preserve">Driver source resistance: V.test / I.so</t>
        </is>
      </c>
      <c r="C80" s="87">
        <f>'Power Components'!$D$93/'Power Components'!$D$91</f>
      </c>
      <c r="D80" s="10" t="inlineStr">
        <is>
          <t xml:space="preserve">Ω</t>
        </is>
      </c>
    </row>
    <row r="81">
      <c r="B81" s="10" t="inlineStr">
        <is>
          <t xml:space="preserve">Driver sink resistance: V.test / I.si</t>
        </is>
      </c>
      <c r="C81" s="87">
        <f>'Power Components'!$D$93/'Power Components'!$D$92</f>
      </c>
      <c r="D81" s="10" t="inlineStr">
        <is>
          <t xml:space="preserve">Ω</t>
        </is>
      </c>
    </row>
    <row r="82">
      <c r="B82" s="10" t="inlineStr">
        <is>
          <t xml:space="preserve">V.drv (selected)</t>
        </is>
      </c>
      <c r="C82" s="87">
        <f>'Power Components'!$F$107</f>
      </c>
      <c r="D82" s="10" t="inlineStr">
        <is>
          <t xml:space="preserve">V</t>
        </is>
      </c>
    </row>
    <row r="83">
      <c r="B83" s="10" t="inlineStr">
        <is>
          <t xml:space="preserve">V.drv min: driver range, and 10 V at the high-side gate after D.boot</t>
        </is>
      </c>
      <c r="C83" s="87">
        <f>MAX('Power Components'!$D$94,10+'Power Components'!$F$118)</f>
      </c>
      <c r="D83" s="10" t="inlineStr">
        <is>
          <t xml:space="preserve">V</t>
        </is>
      </c>
    </row>
    <row r="84">
      <c r="B84" s="10" t="inlineStr">
        <is>
          <t xml:space="preserve">V.drv max: driver range</t>
        </is>
      </c>
      <c r="C84" s="87">
        <f>'Power Components'!$D$95</f>
      </c>
      <c r="D84" s="10" t="inlineStr">
        <is>
          <t xml:space="preserve">V</t>
        </is>
      </c>
    </row>
    <row r="85">
      <c r="B85" s="10" t="inlineStr">
        <is>
          <t xml:space="preserve">Gate capacitance per position: n.par x C.g + C.gs</t>
        </is>
      </c>
      <c r="C85" s="87">
        <f>'Power Components'!$D$68*'Power Components'!$D$76+'Power Components'!$F$113</f>
      </c>
      <c r="D85" s="10" t="inlineStr">
        <is>
          <t xml:space="preserve">nF</t>
        </is>
      </c>
    </row>
    <row r="86">
      <c r="B86" s="10" t="inlineStr">
        <is>
          <t xml:space="preserve">Internal gate resistance per position</t>
        </is>
      </c>
      <c r="C86" s="87">
        <f>'Power Components'!$D$78/'Power Components'!$D$68</f>
      </c>
      <c r="D86" s="10" t="inlineStr">
        <is>
          <t xml:space="preserve">Ω</t>
        </is>
      </c>
    </row>
    <row r="87">
      <c r="B87" s="10" t="inlineStr">
        <is>
          <t xml:space="preserve">Turn-off path resistance</t>
        </is>
      </c>
      <c r="C87" s="87">
        <f>IF('Power Components'!$F$112=0,'Power Components'!$F$111,IF('Power Components'!$F$111&gt;0,'Power Components'!$F$111*'Power Components'!$F$110/('Power Components'!$F$111+'Power Components'!$F$110),'Power Components'!$F$110))</f>
      </c>
      <c r="D87" s="10" t="inlineStr">
        <is>
          <t xml:space="preserve">Ω</t>
        </is>
      </c>
    </row>
    <row r="88">
      <c r="B88" s="10" t="inlineStr">
        <is>
          <t xml:space="preserve">Turn-off path offset (D.off)</t>
        </is>
      </c>
      <c r="C88" s="87">
        <f>IF(AND('Power Components'!$F$112&gt;0,'Power Components'!$F$111&gt;0),'Power Components'!$F$112*'Power Components'!$F$110/('Power Components'!$F$111+'Power Components'!$F$110),0)</f>
      </c>
      <c r="D88" s="10" t="inlineStr">
        <is>
          <t xml:space="preserve">V</t>
        </is>
      </c>
    </row>
    <row r="89">
      <c r="B89" s="10" t="inlineStr">
        <is>
          <t xml:space="preserve">τ.on = (R.so + R.on + R.gi) C.G</t>
        </is>
      </c>
      <c r="C89" s="87">
        <f>(C80+'Power Components'!$F$110+C86)*C85</f>
      </c>
      <c r="D89" s="10" t="inlineStr">
        <is>
          <t xml:space="preserve">ns</t>
        </is>
      </c>
    </row>
    <row r="90">
      <c r="B90" s="10" t="inlineStr">
        <is>
          <t xml:space="preserve">τ.off = (R.si + R.off.eff + R.gi) C.G</t>
        </is>
      </c>
      <c r="C90" s="87">
        <f>(C81+C87+C86)*C85</f>
      </c>
      <c r="D90" s="10" t="inlineStr">
        <is>
          <t xml:space="preserve">ns</t>
        </is>
      </c>
    </row>
    <row r="91">
      <c r="B91" s="10" t="inlineStr">
        <is>
          <t xml:space="preserve">Start-up pulse T/2 - max(t.D.su, t.DT) (also the first LOUT pulse)</t>
        </is>
      </c>
      <c r="C91" s="87">
        <f>10^6/(2*'Device Setting'!$D$29)-MAX(C78,'Power Components'!$D$98)</f>
      </c>
      <c r="D91" s="10" t="inlineStr">
        <is>
          <t xml:space="preserve">ns</t>
        </is>
      </c>
    </row>
    <row r="92">
      <c r="B92" s="10" t="inlineStr">
        <is>
          <t xml:space="preserve">Pulse at f.Max: T/2 - t.D</t>
        </is>
      </c>
      <c r="C92" s="87">
        <f>10^6/(2*'Device Setting'!$D$27)-MAX('Design Spec'!$D$47,'Power Components'!$D$98)</f>
      </c>
      <c r="D92" s="10" t="inlineStr">
        <is>
          <t xml:space="preserve">ns</t>
        </is>
      </c>
    </row>
    <row r="93">
      <c r="B93" s="10" t="inlineStr">
        <is>
          <t xml:space="preserve">Gate voltage at the end of the start-up pulse</t>
        </is>
      </c>
      <c r="C93" s="87">
        <f>C82*(1-EXP(-C91/C89))</f>
      </c>
      <c r="D93" s="10" t="inlineStr">
        <is>
          <t xml:space="preserve">V</t>
        </is>
      </c>
    </row>
    <row r="94">
      <c r="B94" s="10" t="inlineStr">
        <is>
          <t xml:space="preserve">Gate voltage at the end of the f.Max pulse</t>
        </is>
      </c>
      <c r="C94" s="87">
        <f>C82*(1-EXP(-C92/C89))</f>
      </c>
      <c r="D94" s="10" t="inlineStr">
        <is>
          <t xml:space="preserve">V</t>
        </is>
      </c>
    </row>
    <row r="95">
      <c r="B95" s="10" t="inlineStr">
        <is>
          <t xml:space="preserve">Energy per turn-on at f.Max</t>
        </is>
      </c>
      <c r="C95" s="87">
        <f>C85*C94*(C82-C94/2)</f>
      </c>
      <c r="D95" s="10" t="inlineStr">
        <is>
          <t xml:space="preserve">nJ</t>
        </is>
      </c>
    </row>
    <row r="96">
      <c r="B96" s="10" t="inlineStr">
        <is>
          <t xml:space="preserve">Energy per turn-off at f.Max</t>
        </is>
      </c>
      <c r="C96" s="87">
        <f>C85*C94^2/2</f>
      </c>
      <c r="D96" s="10" t="inlineStr">
        <is>
          <t xml:space="preserve">nJ</t>
        </is>
      </c>
    </row>
    <row r="97">
      <c r="B97" s="10" t="inlineStr">
        <is>
          <t xml:space="preserve">Driver share of the turn-on energy</t>
        </is>
      </c>
      <c r="C97" s="87">
        <f>C80/(C80+'Power Components'!$F$110+C86)</f>
      </c>
      <c r="D97" s="10" t="inlineStr">
        <is>
          <t xml:space="preserve">-</t>
        </is>
      </c>
    </row>
    <row r="98">
      <c r="B98" s="10" t="inlineStr">
        <is>
          <t xml:space="preserve">Driver share of the turn-off energy</t>
        </is>
      </c>
      <c r="C98" s="87">
        <f>C81/(C81+C87+C86)</f>
      </c>
      <c r="D98" s="10" t="inlineStr">
        <is>
          <t xml:space="preserve">-</t>
        </is>
      </c>
    </row>
    <row r="99">
      <c r="B99" s="10" t="inlineStr">
        <is>
          <t xml:space="preserve">Driver power at f.Max, both positions + quiescent</t>
        </is>
      </c>
      <c r="C99" s="87">
        <f>2*(C95*C97+C96*C98)*'Device Setting'!$D$27*10^-6+'Power Components'!$D$100*C82/1000</f>
      </c>
      <c r="D99" s="10" t="inlineStr">
        <is>
          <t xml:space="preserve">W</t>
        </is>
      </c>
    </row>
    <row r="100">
      <c r="B100" s="10" t="inlineStr">
        <is>
          <t xml:space="preserve">Driver power allowed: (Tj.max - Ta) / Rth</t>
        </is>
      </c>
      <c r="C100" s="87">
        <f>('Power Components'!$D$102-'Power Components'!$D$73)/'Power Components'!$D$101</f>
      </c>
      <c r="D100" s="10" t="inlineStr">
        <is>
          <t xml:space="preserve">W</t>
        </is>
      </c>
    </row>
    <row r="101">
      <c r="B101" s="10" t="inlineStr">
        <is>
          <t xml:space="preserve">Driver gate-power budget: allowed - quiescent</t>
        </is>
      </c>
      <c r="C101" s="87">
        <f>C100-'Power Components'!$D$100*C82/1000</f>
      </c>
      <c r="D101" s="10" t="inlineStr">
        <is>
          <t xml:space="preserve">W</t>
        </is>
      </c>
    </row>
    <row r="102">
      <c r="B102" s="10" t="inlineStr">
        <is>
          <t xml:space="preserve">Turn-on share the budget allows</t>
        </is>
      </c>
      <c r="C102" s="87">
        <f>(C101-2*C96*C98*'Device Setting'!$D$27*10^-6)/(2*C95*'Device Setting'!$D$27*10^-6)</f>
      </c>
      <c r="D102" s="10" t="inlineStr">
        <is>
          <t xml:space="preserve">-</t>
        </is>
      </c>
    </row>
    <row r="103">
      <c r="B103" s="10" t="inlineStr">
        <is>
          <t xml:space="preserve">R.on min: the driver temperature</t>
        </is>
      </c>
      <c r="C103" s="87">
        <f>IF(C102&lt;=0,"lower V.drv",MAX(0,C80/C102-C80-C86))</f>
      </c>
      <c r="D103" s="10" t="inlineStr">
        <is>
          <t xml:space="preserve">Ω</t>
        </is>
      </c>
    </row>
    <row r="104">
      <c r="B104" s="10" t="inlineStr">
        <is>
          <t xml:space="preserve">R.on max: the gate reaches 10 V within the start-up pulse</t>
        </is>
      </c>
      <c r="C104" s="87">
        <f>IF(C82&gt;10,C91/(C85*LN(C82/(C82-10)))-C80-C86,0)</f>
      </c>
      <c r="D104" s="10" t="inlineStr">
        <is>
          <t xml:space="preserve">Ω</t>
        </is>
      </c>
    </row>
    <row r="105">
      <c r="B105" s="10" t="inlineStr">
        <is>
          <t xml:space="preserve">R.on recommended: the log middle of min .. max, E12 below</t>
        </is>
      </c>
      <c r="C105" s="87">
        <f>IF(ISNUMBER(C103),IF((SQRT(MAX(C103,1)*MAX(C104,1)))&lt;=0,0,10^INT(LOG10((SQRT(MAX(C103,1)*MAX(C104,1)))*1.000001))*LOOKUP((SQRT(MAX(C103,1)*MAX(C104,1)))*1.000001/10^INT(LOG10((SQRT(MAX(C103,1)*MAX(C104,1)))*1.000001)),{1,1.2,1.5,1.8,2.2,2.7,3.3,3.9,4.7,5.6,6.8,8.2})),C103)</f>
      </c>
      <c r="D105" s="10" t="inlineStr">
        <is>
          <t xml:space="preserve">Ω</t>
        </is>
      </c>
    </row>
    <row r="106">
      <c r="B106" s="10" t="inlineStr">
        <is>
          <t xml:space="preserve">Midpoint swing in run: c.HB V.bus,max / I.Lm.pk</t>
        </is>
      </c>
      <c r="C106" s="87">
        <f>'Design Spec'!$D$46*SQRT(2)*'Design Spec'!$D$14/'Res. Tank Design'!$D$73/1000</f>
      </c>
      <c r="D106" s="10" t="inlineStr">
        <is>
          <t xml:space="preserve">ns</t>
        </is>
      </c>
    </row>
    <row r="107">
      <c r="B107" s="10" t="inlineStr">
        <is>
          <t xml:space="preserve">Midpoint swing at start-up: c.HB V.bus,FB / I.su</t>
        </is>
      </c>
      <c r="C107" s="87">
        <f>'Design Spec'!$D$46*C79/'Res. Tank Design'!$D$84/1000</f>
      </c>
      <c r="D107" s="10" t="inlineStr">
        <is>
          <t xml:space="preserve">ns</t>
        </is>
      </c>
    </row>
    <row r="108">
      <c r="B108" s="10" t="inlineStr">
        <is>
          <t xml:space="preserve">Miller current into an off gate during the faster swing</t>
        </is>
      </c>
      <c r="C108" s="87">
        <f>'Power Components'!$D$68*'Power Components'!$D$82/MIN(C106,C107)</f>
      </c>
      <c r="D108" s="10" t="inlineStr">
        <is>
          <t xml:space="preserve">A</t>
        </is>
      </c>
    </row>
    <row r="109">
      <c r="B109" s="10" t="inlineStr">
        <is>
          <t xml:space="preserve">Gate kick, resistive estimate: i.M x sink path</t>
        </is>
      </c>
      <c r="C109" s="87">
        <f>C108*(C81+C87+C86)</f>
      </c>
      <c r="D109" s="10" t="inlineStr">
        <is>
          <t xml:space="preserve">V</t>
        </is>
      </c>
    </row>
    <row r="110">
      <c r="B110" s="10" t="inlineStr">
        <is>
          <t xml:space="preserve">Gate kick, capacitive bound: Q.gd / (C.gs + C.gs option)</t>
        </is>
      </c>
      <c r="C110" s="87">
        <f>'Power Components'!$D$68*'Power Components'!$D$82/('Power Components'!$D$68*'Power Components'!$D$77+'Power Components'!$F$113)</f>
      </c>
      <c r="D110" s="10" t="inlineStr">
        <is>
          <t xml:space="preserve">V</t>
        </is>
      </c>
    </row>
    <row r="111">
      <c r="B111" s="10" t="inlineStr">
        <is>
          <t xml:space="preserve">k.Miller = V.th min / the smaller kick</t>
        </is>
      </c>
      <c r="C111" s="87">
        <f>'Power Components'!$D$81/MIN(C109,C110)</f>
      </c>
      <c r="D111" s="10" t="inlineStr">
        <is>
          <t xml:space="preserve">-</t>
        </is>
      </c>
    </row>
    <row r="112">
      <c r="B112" s="10" t="inlineStr">
        <is>
          <t xml:space="preserve">C.gs needed (0 if the gate holds without it)</t>
        </is>
      </c>
      <c r="C112" s="87">
        <f>IF(MIN(C109,C110)&lt;='Power Components'!$D$81,0,MAX(0,'Power Components'!$D$68*('Power Components'!$D$82/'Power Components'!$D$81-'Power Components'!$D$77)))</f>
      </c>
      <c r="D112" s="10" t="inlineStr">
        <is>
          <t xml:space="preserve">nF</t>
        </is>
      </c>
    </row>
    <row r="113">
      <c r="B113" s="10" t="inlineStr">
        <is>
          <t xml:space="preserve">t.on: IC edge -&gt; V.th</t>
        </is>
      </c>
      <c r="C113" s="87">
        <f>'Power Components'!$D$96+C89*LN(C82/(C82-'Power Components'!$D$80))</f>
      </c>
      <c r="D113" s="10" t="inlineStr">
        <is>
          <t xml:space="preserve">ns</t>
        </is>
      </c>
    </row>
    <row r="114">
      <c r="B114" s="10" t="inlineStr">
        <is>
          <t xml:space="preserve">IC edge -&gt; plateau on the way up</t>
        </is>
      </c>
      <c r="C114" s="87">
        <f>'Power Components'!$D$96+C89*LN(C82/(C82-'Power Components'!$D$79))</f>
      </c>
      <c r="D114" s="10" t="inlineStr">
        <is>
          <t xml:space="preserve">ns</t>
        </is>
      </c>
    </row>
    <row r="115">
      <c r="B115" s="10" t="inlineStr">
        <is>
          <t xml:space="preserve">t.off: IC edge -&gt; below V.th min</t>
        </is>
      </c>
      <c r="C115" s="87">
        <f>IF('Power Components'!$D$81&gt;C88,'Power Components'!$D$96+C90*LN((C82-C88)/('Power Components'!$D$81-C88)),"never")</f>
      </c>
      <c r="D115" s="10" t="inlineStr">
        <is>
          <t xml:space="preserve">ns</t>
        </is>
      </c>
    </row>
    <row r="116">
      <c r="B116" s="10" t="inlineStr">
        <is>
          <t xml:space="preserve">IC edge -&gt; plateau on the way down</t>
        </is>
      </c>
      <c r="C116" s="87">
        <f>'Power Components'!$D$96+C90*LN((C82-C88)/('Power Components'!$D$79-C88))</f>
      </c>
      <c r="D116" s="10" t="inlineStr">
        <is>
          <t xml:space="preserve">ns</t>
        </is>
      </c>
    </row>
    <row r="117">
      <c r="B117" s="10" t="inlineStr">
        <is>
          <t xml:space="preserve">t.D.need = (t.off.pl - t.pd) + swing - (t.on - t.pd) + MT</t>
        </is>
      </c>
      <c r="C117" s="87">
        <f>C116-C113+C106+'Power Components'!$D$97</f>
      </c>
      <c r="D117" s="10" t="inlineStr">
        <is>
          <t xml:space="preserve">ns</t>
        </is>
      </c>
    </row>
    <row r="118">
      <c r="B118" s="10" t="inlineStr">
        <is>
          <t xml:space="preserve">t.D.max = T/4 at f.Max + (t.off.pl - t.on.pl) - MT: on at the plateau before the reversal</t>
        </is>
      </c>
      <c r="C118" s="87">
        <f>10^6/(4*'Device Setting'!$D$27)+C116-C114-'Power Components'!$D$97</f>
      </c>
      <c r="D118" s="10" t="inlineStr">
        <is>
          <t xml:space="preserve">ns</t>
        </is>
      </c>
    </row>
    <row r="119">
      <c r="B119" s="10" t="inlineStr">
        <is>
          <t xml:space="preserve">k.tD = min(max(420, t.DT) / need, t.D.max / max(need, t.DT))</t>
        </is>
      </c>
      <c r="C119" s="87">
        <f>MIN(MAX(420,'Power Components'!$D$98)/C117,C118/MAX(C117,'Power Components'!$D$98))</f>
      </c>
      <c r="D119" s="10" t="inlineStr">
        <is>
          <t xml:space="preserve">-</t>
        </is>
      </c>
    </row>
    <row r="120">
      <c r="B120" s="10" t="inlineStr">
        <is>
          <t xml:space="preserve">Turn-off path that holds the gate below V.th min against the Miller current</t>
        </is>
      </c>
      <c r="C120" s="87">
        <f>'Power Components'!$D$81/C108-C81-C86</f>
      </c>
      <c r="D120" s="10" t="inlineStr">
        <is>
          <t xml:space="preserve">Ω</t>
        </is>
      </c>
    </row>
    <row r="121">
      <c r="B121" s="10" t="inlineStr">
        <is>
          <t xml:space="preserve">Turn-off path that has the gate off before the other side turns on (t.D + t.on)</t>
        </is>
      </c>
      <c r="C121" s="87">
        <f>(MAX('Design Spec'!$D$47,'Power Components'!$D$98)+C113-'Power Components'!$D$96)/(LN((C82-C88)/('Power Components'!$D$81-C88))*C85)-C81-C86</f>
      </c>
      <c r="D121" s="10" t="inlineStr">
        <is>
          <t xml:space="preserve">Ω</t>
        </is>
      </c>
    </row>
    <row r="122">
      <c r="B122" s="10" t="inlineStr">
        <is>
          <t xml:space="preserve">Turn-off path max: the overlap limit, and the Miller limit unless C.gs alone holds</t>
        </is>
      </c>
      <c r="C122" s="87">
        <f>IF(C110&lt;='Power Components'!$D$81,C121,MIN(C121,C120))</f>
      </c>
      <c r="D122" s="10" t="inlineStr">
        <is>
          <t xml:space="preserve">Ω</t>
        </is>
      </c>
    </row>
    <row r="123">
      <c r="B123" s="10" t="inlineStr">
        <is>
          <t xml:space="preserve">R.off max (in parallel with R.on unless V.F = 0)</t>
        </is>
      </c>
      <c r="C123" s="87">
        <f>IF(C122&lt;=0,"lower R.on",IF('Power Components'!$F$112=0,C122,IF(C122&gt;='Power Components'!$F$110,"no limit",1/(1/C122-1/'Power Components'!$F$110))))</f>
      </c>
      <c r="D123" s="10" t="inlineStr">
        <is>
          <t xml:space="preserve">Ω</t>
        </is>
      </c>
    </row>
    <row r="124">
      <c r="B124" s="10" t="inlineStr">
        <is>
          <t xml:space="preserve">C.boot min: 10 x C.G</t>
        </is>
      </c>
      <c r="C124" s="87">
        <f>10*C85</f>
      </c>
      <c r="D124" s="10" t="inlineStr">
        <is>
          <t xml:space="preserve">nF</t>
        </is>
      </c>
    </row>
    <row r="125">
      <c r="B125" s="10" t="inlineStr">
        <is>
          <t xml:space="preserve">C.boot max: the first LOUT pulse still charges it to V.bo.min (with R.boot)</t>
        </is>
      </c>
      <c r="C125" s="87">
        <f>IF(C82-'Power Components'!$F$118&gt;'Power Components'!$D$103,C91/(MAX('Power Components'!$F$117,0.5)*LN((C82-'Power Components'!$F$118)/(C82-'Power Components'!$F$118-'Power Components'!$D$103))),0)</f>
      </c>
      <c r="D125" s="10" t="inlineStr">
        <is>
          <t xml:space="preserve">nF</t>
        </is>
      </c>
    </row>
    <row r="126">
      <c r="B126" s="10" t="inlineStr">
        <is>
          <t xml:space="preserve">C.boot recommended: E6 above the min</t>
        </is>
      </c>
      <c r="C126" s="87">
        <f>IF((C124)&lt;=0,0,-10^INT(LOG10((C124)*0.999999))*LOOKUP(-(C124)*0.999999/10^INT(LOG10((C124)*0.999999)),{-10,-6.8,-4.7,-3.3,-2.2,-1.5,-1}))</f>
      </c>
      <c r="D126" s="10" t="inlineStr">
        <is>
          <t xml:space="preserve">nF</t>
        </is>
      </c>
    </row>
    <row r="127">
      <c r="B127" s="10" t="inlineStr">
        <is>
          <t xml:space="preserve">τ.boot (a diode alone taken as 0.5 Ω)</t>
        </is>
      </c>
      <c r="C127" s="87">
        <f>MAX('Power Components'!$F$117,0.5)*'Power Components'!$F$116</f>
      </c>
      <c r="D127" s="10" t="inlineStr">
        <is>
          <t xml:space="preserve">ns</t>
        </is>
      </c>
    </row>
    <row r="128">
      <c r="B128" s="10" t="inlineStr">
        <is>
          <t xml:space="preserve">R.boot max: the first LOUT pulse reaches V.bo.min (with C.boot)</t>
        </is>
      </c>
      <c r="C128" s="87">
        <f>IF(C82-'Power Components'!$F$118&gt;'Power Components'!$D$103,C91/('Power Components'!$F$116*LN((C82-'Power Components'!$F$118)/(C82-'Power Components'!$F$118-'Power Components'!$D$103))),"V.drv too low")</f>
      </c>
      <c r="D128" s="10" t="inlineStr">
        <is>
          <t xml:space="preserve">Ω</t>
        </is>
      </c>
    </row>
    <row r="129">
      <c r="B129" s="10" t="inlineStr">
        <is>
          <t xml:space="preserve">V.BS after the first LOUT pulse</t>
        </is>
      </c>
      <c r="C129" s="87">
        <f>(C82-'Power Components'!$F$118)*(1-EXP(-C91/C127))</f>
      </c>
      <c r="D129" s="10" t="inlineStr">
        <is>
          <t xml:space="preserve">V</t>
        </is>
      </c>
    </row>
    <row r="130">
      <c r="B130" s="10" t="inlineStr">
        <is>
          <t xml:space="preserve">V.BS drop per high-side pulse at f.SU (gate charge + floating quiescent 120 uA)</t>
        </is>
      </c>
      <c r="C130" s="87">
        <f>C85*C93/'Power Components'!$F$116+0.00012*C91/'Power Components'!$F$116</f>
      </c>
      <c r="D130" s="10" t="inlineStr">
        <is>
          <t xml:space="preserve">V</t>
        </is>
      </c>
    </row>
    <row r="131">
      <c r="B131" s="10" t="inlineStr">
        <is>
          <t xml:space="preserve">V.BS lowest, steady at f.SU</t>
        </is>
      </c>
      <c r="C131" s="87">
        <f>C82-'Power Components'!$F$118-C130*EXP(-C91/C127)/(1-EXP(-C91/C127))-C130</f>
      </c>
      <c r="D131" s="10" t="inlineStr">
        <is>
          <t xml:space="preserve">V</t>
        </is>
      </c>
    </row>
    <row r="132">
      <c r="B132" s="10" t="inlineStr">
        <is>
          <t xml:space="preserve">P.Ron at f.Max</t>
        </is>
      </c>
      <c r="C132" s="87">
        <f>(C95*'Power Components'!$F$110/(C80+'Power Components'!$F$110+C86)+IF('Power Components'!$F$112=0,0,C96*C87/(C81+C87+C86)*C87/'Power Components'!$F$110))*'Device Setting'!$D$27*10^-6</f>
      </c>
      <c r="D132" s="10" t="inlineStr">
        <is>
          <t xml:space="preserve">W</t>
        </is>
      </c>
    </row>
    <row r="133">
      <c r="B133" s="10" t="inlineStr">
        <is>
          <t xml:space="preserve">P.Roff at f.Max</t>
        </is>
      </c>
      <c r="C133" s="87">
        <f>IF('Power Components'!$F$111&gt;0,C96*C87/(C81+C87+C86)*IF('Power Components'!$F$112=0,1,C87/'Power Components'!$F$111)*'Device Setting'!$D$27*10^-6,0)</f>
      </c>
      <c r="D133" s="10" t="inlineStr">
        <is>
          <t xml:space="preserve">W</t>
        </is>
      </c>
    </row>
    <row r="134">
      <c r="B134" s="10" t="inlineStr">
        <is>
          <t xml:space="preserve">Driver junction at f.Max and Ta (Power Components D73)</t>
        </is>
      </c>
      <c r="C134" s="87">
        <f>'Power Components'!$D$73+C99*'Power Components'!$D$101</f>
      </c>
      <c r="D134" s="10" t="inlineStr">
        <is>
          <t xml:space="preserve">˚C</t>
        </is>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